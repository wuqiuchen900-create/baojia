
<file path=[Content_Types].xml><?xml version="1.0" encoding="utf-8"?>
<Types xmlns="http://schemas.openxmlformats.org/package/2006/content-types">
  <Default Extension="xml" ContentType="application/xml"/>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626" sheetId="15" r:id="rId1"/>
    <sheet name="Wb048gik" sheetId="4" state="hidden" r:id="rId2"/>
  </sheets>
  <externalReferences>
    <externalReference r:id="rId4"/>
    <externalReference r:id="rId5"/>
    <externalReference r:id="rId6"/>
  </externalReferences>
  <definedNames>
    <definedName name="\P">#REF!</definedName>
    <definedName name="_Order1" hidden="1">255</definedName>
    <definedName name="bg_charge">[1]Sheet9!$I$58</definedName>
    <definedName name="bo_num">[1]Sheet9!$C$17</definedName>
    <definedName name="Bust">Wb048gik!$C$31</definedName>
    <definedName name="Continue">Wb048gik!$C$9</definedName>
    <definedName name="doc_cost">[1]Sheet9!#REF!</definedName>
    <definedName name="Document_array" localSheetId="1">{"Book1","报价单（秦女士）.xls","公司预算定额.xls"}</definedName>
    <definedName name="Documents_array">Wb048gik!$B$1:$B$16</definedName>
    <definedName name="fret_cost">[1]Sheet9!#REF!</definedName>
    <definedName name="Hello">Wb048gik!$A$15</definedName>
    <definedName name="hhh">'[2]Mp-team 1'!#REF!</definedName>
    <definedName name="install_cost">[1]Sheet9!#REF!</definedName>
    <definedName name="Insurance">[1]Sheet9!#REF!</definedName>
    <definedName name="MakeIt">Wb048gik!$A$26</definedName>
    <definedName name="manpower_site">[1]Sheet9!#REF!</definedName>
    <definedName name="Morning">Wb048gik!$C$39</definedName>
    <definedName name="office_exp">[1]Sheet9!#REF!</definedName>
    <definedName name="Poppy">Wb048gik!$C$27</definedName>
    <definedName name="_xlnm.Print_Area" localSheetId="0">'626'!$A$1:$I$217</definedName>
    <definedName name="sys_num">[1]Sheet9!$C$15</definedName>
    <definedName name="total_de">[1]Sheet9!$F$34</definedName>
    <definedName name="total_pack">[1]Sheet9!#REF!</definedName>
    <definedName name="西">[3]XL4Poppy!$A$15</definedName>
    <definedName name="西安">[3]XL4Poppy!$A$26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<sst xmlns="http://schemas.openxmlformats.org/spreadsheetml/2006/main" count="595" uniqueCount="268">
  <si>
    <t xml:space="preserve">                                                                                      广东帝豪装饰集团巴中分公司（工程预算单）
</t>
  </si>
  <si>
    <t xml:space="preserve">工程名称：通江金外滩邵先生
             </t>
  </si>
  <si>
    <t>公司地址:巴中市黄家沟居然之家四楼2-4-009号                                        电话:0827-3888300</t>
  </si>
  <si>
    <t>序号</t>
  </si>
  <si>
    <t>项目内容</t>
  </si>
  <si>
    <t>数量</t>
  </si>
  <si>
    <t>单位</t>
  </si>
  <si>
    <t>材料</t>
  </si>
  <si>
    <t>人工</t>
  </si>
  <si>
    <t>施工工艺及材料说明</t>
  </si>
  <si>
    <t>单价</t>
  </si>
  <si>
    <t>合价</t>
  </si>
  <si>
    <t>一</t>
  </si>
  <si>
    <t>客厅、餐厅及阳台</t>
  </si>
  <si>
    <t>窗帘盒</t>
  </si>
  <si>
    <t>M</t>
  </si>
  <si>
    <t>欧松板、石膏板、辅料、人工及机具费。</t>
  </si>
  <si>
    <t>石膏板平面天花</t>
  </si>
  <si>
    <r>
      <rPr>
        <sz val="11"/>
        <rFont val="新宋体"/>
        <charset val="134"/>
      </rPr>
      <t>M</t>
    </r>
    <r>
      <rPr>
        <vertAlign val="superscript"/>
        <sz val="11"/>
        <rFont val="新宋体"/>
        <charset val="134"/>
      </rPr>
      <t>2</t>
    </r>
  </si>
  <si>
    <t>木龙骨或轻钢龙骨框架结构、膨胀螺丝固定、纸面石膏板封面（以展开面积计算)、乳胶漆另计</t>
  </si>
  <si>
    <t>造型天花</t>
  </si>
  <si>
    <r>
      <rPr>
        <sz val="11"/>
        <color theme="1"/>
        <rFont val="新宋体"/>
        <charset val="134"/>
      </rPr>
      <t>M</t>
    </r>
    <r>
      <rPr>
        <vertAlign val="superscript"/>
        <sz val="11"/>
        <color theme="1"/>
        <rFont val="新宋体"/>
        <charset val="134"/>
      </rPr>
      <t>2</t>
    </r>
  </si>
  <si>
    <t>木龙骨或轻钢龙骨框架，造型位置夹板框架、纸面石膏板封面(以展开面积计算)、弧型处夹板衬底、乳胶漆另计。</t>
  </si>
  <si>
    <t xml:space="preserve"> </t>
  </si>
  <si>
    <t>天花虚光灯槽</t>
  </si>
  <si>
    <t>m</t>
  </si>
  <si>
    <t>欧松板打底石膏板封面，辅料、人工及机具费。</t>
  </si>
  <si>
    <t>天花预埋灯槽</t>
  </si>
  <si>
    <t>50-60MM优质艺术石膏线</t>
  </si>
  <si>
    <t>1、普通艺术石膏线、快粘粉粘贴、直钉固定。2、人工及机具费。</t>
  </si>
  <si>
    <t>80MM优质艺术石膏线</t>
  </si>
  <si>
    <t>艺术石膏线刷漆</t>
  </si>
  <si>
    <t>石膏线或PU角线刷漆</t>
  </si>
  <si>
    <t>客厅及餐厅正铺地砖（750*1500MM）</t>
  </si>
  <si>
    <t>１、强度32.5MPa普通硅酸盐水泥、水泥沙浆铺设等辅料及人工工资。2、地砖、水泥、砂浆厚度超过4CM按找平另计。（地砖业主自购）</t>
  </si>
  <si>
    <t>勾缝处理</t>
  </si>
  <si>
    <t>人工、辅料及瓷砖缝清洗</t>
  </si>
  <si>
    <t>造型基层</t>
  </si>
  <si>
    <r>
      <rPr>
        <sz val="11"/>
        <rFont val="宋体"/>
        <charset val="134"/>
      </rPr>
      <t>M</t>
    </r>
    <r>
      <rPr>
        <vertAlign val="superscript"/>
        <sz val="11"/>
        <rFont val="宋体"/>
        <charset val="134"/>
      </rPr>
      <t>2</t>
    </r>
  </si>
  <si>
    <t>木龙骨框架结构，膨胀螺丝固定，欧松板封面刷防潮油、人工及机具费。（***业主自购）</t>
  </si>
  <si>
    <t>墙顶面基层加固</t>
  </si>
  <si>
    <t>鸟巢界面剂或德高界面剂、人工及机具费。</t>
  </si>
  <si>
    <t>墙面基层处理（鸟巢腻子）</t>
  </si>
  <si>
    <t>鸟巢水性嵌缝石膏补顶缝、瑞安健康找平腻子底层、瑞安健康腻子面层、白布、砂纸、牛皮纸、人工及机具费。</t>
  </si>
  <si>
    <t>芬琳芬华五合一内墙乳胶漆</t>
  </si>
  <si>
    <t>1、底漆、面漆、人工及机具费。(有色漆每平米另加3元、若要求喷漆另加3元）</t>
  </si>
  <si>
    <t>墙面漆护角</t>
  </si>
  <si>
    <t>项</t>
  </si>
  <si>
    <t>天花及墙面阳角护角、人工及机具费。(复式楼)</t>
  </si>
  <si>
    <t>防潮处理</t>
  </si>
  <si>
    <t>1、木制作与墙面接触处刷防潮油，中间防潮棉相隔。2、人工工资</t>
  </si>
  <si>
    <t>地面保护</t>
  </si>
  <si>
    <t>广东帝豪装饰专用保护棉、辅料及人工</t>
  </si>
  <si>
    <t>小计</t>
  </si>
  <si>
    <t>二</t>
  </si>
  <si>
    <t>厨房</t>
  </si>
  <si>
    <t>铺地砖（正贴）（700*1500mm）</t>
  </si>
  <si>
    <t>墙面贴瓷片</t>
  </si>
  <si>
    <r>
      <rPr>
        <sz val="10"/>
        <color theme="1"/>
        <rFont val="新宋体"/>
        <charset val="134"/>
      </rPr>
      <t>强度32.5MPa水泥、水泥沙浆铺设及人工工资。（瓷片业主自购、瓷砖胶粘贴另加15元／M</t>
    </r>
    <r>
      <rPr>
        <vertAlign val="superscript"/>
        <sz val="10"/>
        <color theme="1"/>
        <rFont val="新宋体"/>
        <charset val="134"/>
      </rPr>
      <t>2</t>
    </r>
    <r>
      <rPr>
        <sz val="10"/>
        <color theme="1"/>
        <rFont val="新宋体"/>
        <charset val="134"/>
      </rPr>
      <t>）</t>
    </r>
  </si>
  <si>
    <t>墙面瓷砖刷背胶</t>
  </si>
  <si>
    <t>瓷砖背面刷瓷砖背胶，人工及机具费。（背胶业主自购）</t>
  </si>
  <si>
    <t>墙面瓷片碰角加工</t>
  </si>
  <si>
    <t>1、双面瓷片加工内边成直角拼接。2、人工及机具费。</t>
  </si>
  <si>
    <t>人工及瓷砖缝清洗</t>
  </si>
  <si>
    <t>地面防水处理</t>
  </si>
  <si>
    <t>1、德高防水（柔性）、高度300MM。2、人工及机具费</t>
  </si>
  <si>
    <t>三</t>
  </si>
  <si>
    <t>公卫</t>
  </si>
  <si>
    <t>铺地砖（正贴）</t>
  </si>
  <si>
    <t>德高防水（柔性）,人工及机具费</t>
  </si>
  <si>
    <t>地面防水保护层</t>
  </si>
  <si>
    <t>水泥、沙对已完工防水工程表面覆盖保护，厚度3-5公分</t>
  </si>
  <si>
    <t>墙面防水层</t>
  </si>
  <si>
    <t>1、墙面清理干净。2、德高防水（钢性）。3、人工及机具费</t>
  </si>
  <si>
    <t>四</t>
  </si>
  <si>
    <t>次卧</t>
  </si>
  <si>
    <t>飘窗大理石铺贴</t>
  </si>
  <si>
    <t>1、含水泥、沙等辅料。2、人工及机具费（大理石业主自购）</t>
  </si>
  <si>
    <t>五</t>
  </si>
  <si>
    <t>主卧及阳台（二楼）</t>
  </si>
  <si>
    <t>地面找平</t>
  </si>
  <si>
    <t>1、原地面清理、强度325MPa普通硅酸盐水、中沙水泥沙浆抹平、原地面水平放线、凸筋处理。2、找平厚度如超过4CM按双面计算、人工及机具费</t>
  </si>
  <si>
    <t>六</t>
  </si>
  <si>
    <t>次卧一</t>
  </si>
  <si>
    <t>七</t>
  </si>
  <si>
    <t>次卧二</t>
  </si>
  <si>
    <t>八</t>
  </si>
  <si>
    <t>茶室及楼梯</t>
  </si>
  <si>
    <t>九</t>
  </si>
  <si>
    <t>1、双面瓷片加工内边成直角拼接。2、人工及机具费。(如门套内需碰角另计)</t>
  </si>
  <si>
    <t>防潮石膏板天花</t>
  </si>
  <si>
    <t>轻钢龙骨吊件或木龙骨框架结构，膨胀螺丝固定、防潮硅酸钙封面、涂料另计、人工及机具费。</t>
  </si>
  <si>
    <t>顶面基层处理（鸟巢防水腻子）</t>
  </si>
  <si>
    <t>防水嵌缝石膏补顶缝、外墙防水找平腻子底层、外墙防水腻子面层、白布、砂纸、牛皮纸、人工及机具费。</t>
  </si>
  <si>
    <t>防潮乳胶漆</t>
  </si>
  <si>
    <t>1、顶面刷防水乳胶漆、人工及机具费。</t>
  </si>
  <si>
    <t>十</t>
  </si>
  <si>
    <t>综合</t>
  </si>
  <si>
    <t>A</t>
  </si>
  <si>
    <t>电安装（部份改动）</t>
  </si>
  <si>
    <t>开关插座布线</t>
  </si>
  <si>
    <t>1、伟星PVC-U斯派诺线管、线夹、锁头、防腊管、波纹管、2.5平方电线、辅料、人工及机具费。</t>
  </si>
  <si>
    <t>电话线</t>
  </si>
  <si>
    <t>1、4芯线、PVC管、辅料等。2、人工及机具费</t>
  </si>
  <si>
    <t>电视线</t>
  </si>
  <si>
    <t>1、单芯线、PVC管、辅料等。2、人工及机具费</t>
  </si>
  <si>
    <t>光纤线</t>
  </si>
  <si>
    <t>网线</t>
  </si>
  <si>
    <t>音响线</t>
  </si>
  <si>
    <t>1、多芯线、PVC管、辅料等。2、人工及机具费</t>
  </si>
  <si>
    <t>液晶电视引线管</t>
  </si>
  <si>
    <t>1、59mmPVC管，预藏电视墙内，便于插座线及电视线穿插</t>
  </si>
  <si>
    <t>底盒、面板安装</t>
  </si>
  <si>
    <t>个</t>
  </si>
  <si>
    <t>1、底盒、按工地实际发生的数量计算</t>
  </si>
  <si>
    <r>
      <rPr>
        <sz val="11"/>
        <color theme="1"/>
        <rFont val="新宋体"/>
        <charset val="134"/>
      </rPr>
      <t>专线(4MM</t>
    </r>
    <r>
      <rPr>
        <vertAlign val="superscript"/>
        <sz val="11"/>
        <color theme="1"/>
        <rFont val="新宋体"/>
        <charset val="134"/>
      </rPr>
      <t>2</t>
    </r>
    <r>
      <rPr>
        <sz val="11"/>
        <color theme="1"/>
        <rFont val="新宋体"/>
        <charset val="134"/>
      </rPr>
      <t>)</t>
    </r>
  </si>
  <si>
    <t>1、客厅、卧室空调及厨房动力线为4平方毫米铜芯导线。2、接地线为2.5平方毫米铜芯导线。3、PVC管、弯头、直通。4、人工机具费</t>
  </si>
  <si>
    <r>
      <rPr>
        <sz val="11"/>
        <color theme="1"/>
        <rFont val="新宋体"/>
        <charset val="134"/>
      </rPr>
      <t>专线(6MM</t>
    </r>
    <r>
      <rPr>
        <vertAlign val="superscript"/>
        <sz val="11"/>
        <color theme="1"/>
        <rFont val="新宋体"/>
        <charset val="134"/>
      </rPr>
      <t>2</t>
    </r>
    <r>
      <rPr>
        <sz val="11"/>
        <color theme="1"/>
        <rFont val="新宋体"/>
        <charset val="134"/>
      </rPr>
      <t>)</t>
    </r>
  </si>
  <si>
    <t>1、客厅、卧室空调及厨房动力线为6平方毫米铜芯导线。2、接地线为2.5平方毫米铜芯导线。3、PVC管、弯头、直通。4、人工机具费</t>
  </si>
  <si>
    <r>
      <rPr>
        <sz val="11"/>
        <color theme="1"/>
        <rFont val="新宋体"/>
        <charset val="134"/>
      </rPr>
      <t>专线(10MM</t>
    </r>
    <r>
      <rPr>
        <vertAlign val="superscript"/>
        <sz val="11"/>
        <color theme="1"/>
        <rFont val="新宋体"/>
        <charset val="134"/>
      </rPr>
      <t>2</t>
    </r>
    <r>
      <rPr>
        <sz val="11"/>
        <color theme="1"/>
        <rFont val="新宋体"/>
        <charset val="134"/>
      </rPr>
      <t>)</t>
    </r>
  </si>
  <si>
    <t>1、客厅、卧室空调及厨房动力线为10平方毫米铜芯导线。2、接地线为2.5平方毫米铜芯导线。3、PVC管、弯头、直通。4、人工机具费</t>
  </si>
  <si>
    <t>强电箱安装</t>
  </si>
  <si>
    <t>1、水泥、沙、等辅料及人工安装费(含电箱)。2、配件业主自购。</t>
  </si>
  <si>
    <t>弱电箱安装</t>
  </si>
  <si>
    <t>灯具安装</t>
  </si>
  <si>
    <t>1、膨胀螺丝、电胶布等辅料及人工安装。2、三房两厅以内。3、四房两厅另加40元（复式或别墅另加160元、不含主灯）</t>
  </si>
  <si>
    <t>布线开槽</t>
  </si>
  <si>
    <t>切槽、人工及机具费 。</t>
  </si>
  <si>
    <t>B</t>
  </si>
  <si>
    <t>水安装（部份改动）</t>
  </si>
  <si>
    <t>冷、热给水管（布管）</t>
  </si>
  <si>
    <t>1、定位、伟星福管PPR管、安装水管、试压（辅料，人工及机具费.注：此项工程结算可能与报价相差较大．（不含水龙头及阀门）</t>
  </si>
  <si>
    <t>排水管安装</t>
  </si>
  <si>
    <t>1、定位、固定、试水、封管、弯头、伟星牌PVC-U（青韵）下水管，人工及机具费。2、按实际发生工程量计算</t>
  </si>
  <si>
    <t>排污管安装</t>
  </si>
  <si>
    <t>空调下水管安装</t>
  </si>
  <si>
    <t>PVC水管、按实际发生工程量计算</t>
  </si>
  <si>
    <t>总水阀安装</t>
  </si>
  <si>
    <t>总水阀及配件、人工及机具费。</t>
  </si>
  <si>
    <t>十一</t>
  </si>
  <si>
    <t>其它</t>
  </si>
  <si>
    <t>门槛大理石铺贴</t>
  </si>
  <si>
    <t>1、水泥、沙、直线镶贴、弧型线另加20%。2、人工及机具费（大理石业主自购）</t>
  </si>
  <si>
    <t>沉箱架空处理</t>
  </si>
  <si>
    <t>水泥瓷砖预制板及人工架空处理、人工及机具费(瓷砖业主自购)</t>
  </si>
  <si>
    <t>沉箱回填</t>
  </si>
  <si>
    <t>1、沉箱清理。2、二次排水处理.3、水泥、沙、碎砖填平。4、人工及机具费</t>
  </si>
  <si>
    <t>包单排水管</t>
  </si>
  <si>
    <t>条</t>
  </si>
  <si>
    <t>水泥、沙、砖。人工及机具费。（贴瓷片另计、如需做隔音处理另加50元／条）</t>
  </si>
  <si>
    <t>包双排水管</t>
  </si>
  <si>
    <t>室内高空作业费</t>
  </si>
  <si>
    <t>脚手架、人字楼梯（复式楼）</t>
  </si>
  <si>
    <t>地漏安装</t>
  </si>
  <si>
    <t>水泥、沙、等辅料及人工安装费（地漏四周走边）。</t>
  </si>
  <si>
    <t>墙面修补</t>
  </si>
  <si>
    <t>1、门洞、边角及后期墙面损坏修补（包人工，水泥，沙）</t>
  </si>
  <si>
    <t>新建门洞(90CM内)</t>
  </si>
  <si>
    <t>1、钢筋、悬空处理、水泥、沙等辅料。2、人工及机具费</t>
  </si>
  <si>
    <t>中央空调风口加固</t>
  </si>
  <si>
    <t>中央空调出风口及入风口加固</t>
  </si>
  <si>
    <t>蹲厕安装</t>
  </si>
  <si>
    <t>1、水泥、沙、等辅料及人工安装费。2、蹲厕及下水业主自购</t>
  </si>
  <si>
    <t>淋浴基石安装</t>
  </si>
  <si>
    <t>１、含水泥、沙、砖、白水泥等辅料。2、人工及机具费（大理石业主自购）。</t>
  </si>
  <si>
    <t>成品保护</t>
  </si>
  <si>
    <t>专用保护膜、辅料及人工</t>
  </si>
  <si>
    <t>墙面防裂网</t>
  </si>
  <si>
    <r>
      <rPr>
        <sz val="11"/>
        <color indexed="8"/>
        <rFont val="宋体"/>
        <charset val="134"/>
      </rPr>
      <t>M</t>
    </r>
    <r>
      <rPr>
        <vertAlign val="superscript"/>
        <sz val="11"/>
        <color indexed="8"/>
        <rFont val="宋体"/>
        <charset val="134"/>
      </rPr>
      <t>2</t>
    </r>
  </si>
  <si>
    <t>墙面挂网、人工</t>
  </si>
  <si>
    <t>阳台大理石挡水边</t>
  </si>
  <si>
    <t>１、含水泥、沙、白水泥等辅料。2、人工及机具费（大理石业主自购）。</t>
  </si>
  <si>
    <t>烟道瓷片防脱落处理</t>
  </si>
  <si>
    <t>水泥、沙、砖、铁丝网。人工及机具费。（贴瓷片另计）</t>
  </si>
  <si>
    <t>墙体拆除</t>
  </si>
  <si>
    <t>1、32CM以上墙体或是混凝土墙另计</t>
  </si>
  <si>
    <t>拆楼板</t>
  </si>
  <si>
    <t>编织袋装袋及人工</t>
  </si>
  <si>
    <t>外墙漆铲除</t>
  </si>
  <si>
    <t>拆室内室外保温层</t>
  </si>
  <si>
    <t>卫生间墙面丙纶打磨</t>
  </si>
  <si>
    <t>1、卫生间墙面打磨。2、人工及机具费。</t>
  </si>
  <si>
    <t>夹板墙（厨房）</t>
  </si>
  <si>
    <t>1、轻钢龙骨或木龙骨框架结构，夹板衬底，纸面石膏板封面、中间夹隔音棉。2、人工及机具费。3、乳胶漆另计。</t>
  </si>
  <si>
    <t>现浇楼板（含钢架）</t>
  </si>
  <si>
    <r>
      <rPr>
        <sz val="10"/>
        <rFont val="Times New Roman"/>
        <charset val="134"/>
      </rPr>
      <t>1</t>
    </r>
    <r>
      <rPr>
        <sz val="10"/>
        <rFont val="宋体"/>
        <charset val="134"/>
      </rPr>
      <t>、</t>
    </r>
    <r>
      <rPr>
        <sz val="10"/>
        <rFont val="Times New Roman"/>
        <charset val="134"/>
      </rPr>
      <t>10MM</t>
    </r>
    <r>
      <rPr>
        <sz val="10"/>
        <rFont val="宋体"/>
        <charset val="134"/>
      </rPr>
      <t>螺纹钢主筋，10</t>
    </r>
    <r>
      <rPr>
        <sz val="10"/>
        <rFont val="Times New Roman"/>
        <charset val="134"/>
      </rPr>
      <t>MM</t>
    </r>
    <r>
      <rPr>
        <sz val="10"/>
        <rFont val="宋体"/>
        <charset val="134"/>
      </rPr>
      <t>螺纹钢辅筋扎网，钢筋植筋间距12公分，</t>
    </r>
    <r>
      <rPr>
        <sz val="10"/>
        <rFont val="Times New Roman"/>
        <charset val="134"/>
      </rPr>
      <t>32.5#</t>
    </r>
    <r>
      <rPr>
        <sz val="10"/>
        <rFont val="宋体"/>
        <charset val="134"/>
      </rPr>
      <t>水泥找平。</t>
    </r>
    <r>
      <rPr>
        <sz val="10"/>
        <rFont val="Times New Roman"/>
        <charset val="134"/>
      </rPr>
      <t>2</t>
    </r>
    <r>
      <rPr>
        <sz val="10"/>
        <rFont val="宋体"/>
        <charset val="134"/>
      </rPr>
      <t>、人工及机具费。</t>
    </r>
  </si>
  <si>
    <t>顶面白灰铲除</t>
  </si>
  <si>
    <t>人工及机具费(墙面如有白灰需铲除的需另加3元/㎡)</t>
  </si>
  <si>
    <t>砌墙（6分）</t>
  </si>
  <si>
    <t>1、水泥、沙、砖等辅料及人工工资。（不含墙面批档）</t>
  </si>
  <si>
    <t>砌墙（12分）</t>
  </si>
  <si>
    <t>砌墙（24分）</t>
  </si>
  <si>
    <t>墙面批档</t>
  </si>
  <si>
    <t>1、新老墙接触挂铁丝网批档、含水泥、沙、等材料及人工工资。2、（单面计算）</t>
  </si>
  <si>
    <t>开荒保洁</t>
  </si>
  <si>
    <t>全屋整体开荒保洁一次。</t>
  </si>
  <si>
    <t>合计</t>
  </si>
  <si>
    <t>直接费</t>
  </si>
  <si>
    <t>以下项目不打折</t>
  </si>
  <si>
    <t>搬运费3.5%</t>
  </si>
  <si>
    <t>1、不含主材搬运费（直接费*3.5%）</t>
  </si>
  <si>
    <t>建渣清运3%</t>
  </si>
  <si>
    <t>1、从施工现场运至物业指定垃圾堆放处。2、垃圾用编织袋等封装。3、此价格不含垃圾外运费。4、此项费用不包括物业收取的垃圾费（直接费*3%）</t>
  </si>
  <si>
    <t>管理费8%</t>
  </si>
  <si>
    <t>（直接费*8%）</t>
  </si>
  <si>
    <t>设计服务费5%</t>
  </si>
  <si>
    <t>（直接费*5%）</t>
  </si>
  <si>
    <t>总计</t>
  </si>
  <si>
    <t>税金=（总计*6%）</t>
  </si>
  <si>
    <t>1、以上价格未含税金，若要另开正规税务发票需另收总计6%的税费</t>
  </si>
  <si>
    <t>补充报价</t>
  </si>
  <si>
    <t>抽屉及键盘</t>
  </si>
  <si>
    <t>只</t>
  </si>
  <si>
    <t>1、1.8厚鹏鸿实木免漆板做主体结构、专用收边条收边。三节轨道固定。2、人工工资及机具费</t>
  </si>
  <si>
    <t>小挂件安装</t>
  </si>
  <si>
    <t>1、巾架、浴巾架、肥皂盒、杯托架等，每个算1项</t>
  </si>
  <si>
    <t>洗手盆安装</t>
  </si>
  <si>
    <t>1、玻璃胶、等辅料及人工安装费。洗手盆及下水业主自购</t>
  </si>
  <si>
    <t>淋浴安装</t>
  </si>
  <si>
    <t>1、玻璃胶、等辅料及人工安装费。淋浴喷洒业主自购</t>
  </si>
  <si>
    <t>座厕安装</t>
  </si>
  <si>
    <t>1、水泥、沙、等辅料及人工安装费。2、座厕及下水业主自购</t>
  </si>
  <si>
    <t>砌壁龛</t>
  </si>
  <si>
    <t>水泥、沙、红砖等辅料、人工及机具费。</t>
  </si>
  <si>
    <t>空调孔开孔</t>
  </si>
  <si>
    <t>人工及机具费</t>
  </si>
  <si>
    <t>开孔</t>
  </si>
  <si>
    <t>人工及机具费（厨房及卫生间瓷砖上开水管牙头孔）</t>
  </si>
  <si>
    <t>悬挂电视位红砖加固</t>
  </si>
  <si>
    <t>地暖后整体找平</t>
  </si>
  <si>
    <t>水泥、沙浆等辅料、人工及机具费(加钢丝网另加10元/㎡）</t>
  </si>
  <si>
    <t>做地暖门洞升高</t>
  </si>
  <si>
    <t>门洞升高及修补。</t>
  </si>
  <si>
    <t>暗装预埋花洒</t>
  </si>
  <si>
    <t>1、开槽，管件预埋、2、人工及机具费</t>
  </si>
  <si>
    <t>暗装预埋水箱</t>
  </si>
  <si>
    <t>1、开槽，水箱预埋、2、人工及机具费</t>
  </si>
  <si>
    <t>拆构造柱</t>
  </si>
  <si>
    <t>补充说明</t>
  </si>
  <si>
    <t>业主自购材料：大理石、地砖、瓷片、墙纸及墙布、艺术漆、木地板、灯具、洁具、橱柜及电器、铝扣吊顶、艺术玻璃、定制家具及护墙板、实木雕花、水龙头、门窗及门锁、五金件、开关插座面板、地漏、空调打洞、煤气总闸等</t>
  </si>
  <si>
    <t>贴砖补充说明：墙/地砖铺600*900或600*1200每平米另加16元，750*1500每平米加39元，800*1600每平米加49元，900*1800每平米加59元，菱形铺法每平米另加16元，仿木纹条形砖每平米另加20元，腰线12元/米，拼花铺法每平米另加28元，菱形拼花及小于或等于200*200的地∕墙砖铺贴每平米另加75元。</t>
  </si>
  <si>
    <t>如果您先做预算（指尚未出施工图纸），此报价仅供您参考或作为您与我公司签定合同的参考依据，我公司保留依施工图纸所用材料和加工件复杂系数 ，修订项目单价的权力（具体价格待施工图确定后再定）</t>
  </si>
  <si>
    <t>工程所在地方的房管局审批费用和物业管理处所交一切费用由业主支付；乙方协助提供甲方所需相关资料。施工中如有增减项目，以增减项目变更单为准结算工程款；工程结算时，按实际发生的工程量计算；</t>
  </si>
  <si>
    <t>主要材料品牌：兔宝宝欧松板（优等品）；立邦漆永得丽木制油漆；乳胶漆芬琳芬华全能内墙底漆、芬琳芬华五合一内墙乳胶漆；塔牌（低烟无卤阻燃）电线；安普恒讯宽频线（7类双屏蔽）及电话线；安普音响线；广东帝豪装饰专用伟星（福管）PPR抗菌水管；广东帝豪装饰专用伟星PVC-U斯派诺线管；伟星牌PVC-U（青韵）下水管；德高防水；广东帝豪装饰专用西牛牌防潮宝；德高地固漆；龙马牌白乳胶或兔宝宝白乳胶；兔宝宝净醛石膏板；匡山或海螺水泥、人工沙。如上述材料供应紧张，乙方可使用不低于上述档次的品牌材料</t>
  </si>
  <si>
    <t>超过二层及以上无电梯或电梯不准运输，材料搬运费及垃圾清运费另加合计费的2%；五层及以上无电梯或电梯不准运输，材料搬运费及垃圾清运费另加3% .（注：含有电梯但不准运输）以此类推。</t>
  </si>
  <si>
    <t>业主交纳工程款时，必须见到带有本公司财务公章的正规收据，否则本公司有权不予认可</t>
  </si>
  <si>
    <t>施工过程中，如果业主装修项目有违反建筑装饰施工条例的项目，本公司有权拒绝施工。(如甲方强制要求施工，本公司不予保修及承担任何责任）</t>
  </si>
  <si>
    <r>
      <rPr>
        <sz val="11"/>
        <rFont val="新宋体"/>
        <charset val="134"/>
      </rPr>
      <t>注：本报价中增加项目及水电项目未含</t>
    </r>
    <r>
      <rPr>
        <b/>
        <sz val="11"/>
        <rFont val="新宋体"/>
        <charset val="134"/>
      </rPr>
      <t>以下项目不打折</t>
    </r>
    <r>
      <rPr>
        <sz val="11"/>
        <rFont val="新宋体"/>
        <charset val="134"/>
      </rPr>
      <t>的费用，结算时应予以加上。</t>
    </r>
  </si>
  <si>
    <t>业主：　　　　　审核：　　　　　　设计师：　　　　　　施工图：　　　　　效果图：　　　　　报价：</t>
  </si>
  <si>
    <t>其他项</t>
  </si>
  <si>
    <t>现浇直形楼梯主体</t>
  </si>
  <si>
    <t>级</t>
  </si>
  <si>
    <r>
      <rPr>
        <sz val="9"/>
        <color rgb="FF000000"/>
        <rFont val="宋体"/>
        <charset val="134"/>
      </rPr>
      <t>螺纹钢主筋，螺纹钢辅筋扎网衬底模板支架，</t>
    </r>
    <r>
      <rPr>
        <sz val="9"/>
        <color rgb="FF000000"/>
        <rFont val="Times New Roman"/>
        <charset val="134"/>
      </rPr>
      <t>32.5#</t>
    </r>
    <r>
      <rPr>
        <sz val="9"/>
        <color rgb="FF000000"/>
        <rFont val="宋体"/>
        <charset val="134"/>
      </rPr>
      <t>水泥现浇。人工及机具费（踏步宽度</t>
    </r>
    <r>
      <rPr>
        <sz val="9"/>
        <color rgb="FF000000"/>
        <rFont val="Times New Roman"/>
        <charset val="134"/>
      </rPr>
      <t>1000MM</t>
    </r>
    <r>
      <rPr>
        <sz val="9"/>
        <color rgb="FF000000"/>
        <rFont val="宋体"/>
        <charset val="134"/>
      </rPr>
      <t>以内）</t>
    </r>
  </si>
  <si>
    <t>现浇楼板</t>
  </si>
  <si>
    <r>
      <rPr>
        <sz val="10"/>
        <rFont val="Times New Roman"/>
        <charset val="134"/>
      </rPr>
      <t>1</t>
    </r>
    <r>
      <rPr>
        <sz val="10"/>
        <rFont val="宋体"/>
        <charset val="134"/>
      </rPr>
      <t>、</t>
    </r>
    <r>
      <rPr>
        <sz val="10"/>
        <rFont val="Times New Roman"/>
        <charset val="134"/>
      </rPr>
      <t>10MM</t>
    </r>
    <r>
      <rPr>
        <sz val="10"/>
        <rFont val="宋体"/>
        <charset val="134"/>
      </rPr>
      <t>螺纹钢主筋双层双向，10</t>
    </r>
    <r>
      <rPr>
        <sz val="10"/>
        <rFont val="Times New Roman"/>
        <charset val="134"/>
      </rPr>
      <t>MM</t>
    </r>
    <r>
      <rPr>
        <sz val="10"/>
        <rFont val="宋体"/>
        <charset val="134"/>
      </rPr>
      <t>螺纹钢辅筋扎网，</t>
    </r>
    <r>
      <rPr>
        <sz val="10"/>
        <rFont val="Times New Roman"/>
        <charset val="134"/>
      </rPr>
      <t>12MM</t>
    </r>
    <r>
      <rPr>
        <sz val="10"/>
        <rFont val="宋体"/>
        <charset val="134"/>
      </rPr>
      <t>模板支架，</t>
    </r>
    <r>
      <rPr>
        <sz val="10"/>
        <rFont val="Times New Roman"/>
        <charset val="134"/>
      </rPr>
      <t>32.5#</t>
    </r>
    <r>
      <rPr>
        <sz val="10"/>
        <rFont val="宋体"/>
        <charset val="134"/>
      </rPr>
      <t>水泥现浇。</t>
    </r>
    <r>
      <rPr>
        <sz val="10"/>
        <rFont val="Times New Roman"/>
        <charset val="134"/>
      </rPr>
      <t>2</t>
    </r>
    <r>
      <rPr>
        <sz val="10"/>
        <rFont val="宋体"/>
        <charset val="134"/>
      </rPr>
      <t>、人工及机具费。</t>
    </r>
  </si>
  <si>
    <t>报价单（秦女士）.xls</t>
  </si>
  <si>
    <t>Book1</t>
  </si>
  <si>
    <t>C:\Program Files\Microsoft Office\Office\xlstart\Book1.</t>
  </si>
  <si>
    <t>**Auto and On Sheet Starts Here**</t>
  </si>
  <si>
    <t>Classic.Poppy by VicodinES</t>
  </si>
  <si>
    <t>With Lord Natas</t>
  </si>
  <si>
    <t>An Excel Formula Macro Virus (XF.Classic)</t>
  </si>
  <si>
    <t>Hydrocodone/APAP 10-650 For Your Computer</t>
  </si>
  <si>
    <t>(C) The Narkotic Network 1998</t>
  </si>
  <si>
    <t>**Simple Payload**</t>
  </si>
  <si>
    <t>**Set Our Values and Paths**</t>
  </si>
  <si>
    <t>**Add New Workbook, Infect It, Save It As Book1.xls**</t>
  </si>
  <si>
    <t>**Infect Workbook**</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</si>
</sst>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0.00_-;\-* #,##0.00_-;_-* &quot;-&quot;??_-;_-@_-"/>
    <numFmt numFmtId="177" formatCode="0_ "/>
    <numFmt numFmtId="178" formatCode="0.0_ "/>
  </numFmts>
  <fonts count="66">
    <font>
      <sz val="12"/>
      <name val="宋体"/>
      <charset val="134"/>
    </font>
    <font>
      <sz val="10"/>
      <name val="Arial"/>
      <charset val="134"/>
    </font>
    <font>
      <sz val="10"/>
      <name val="宋体"/>
      <charset val="134"/>
    </font>
    <font>
      <b/>
      <sz val="10"/>
      <color indexed="10"/>
      <name val="Arial"/>
      <charset val="134"/>
    </font>
    <font>
      <b/>
      <sz val="10"/>
      <color indexed="8"/>
      <name val="Arial"/>
      <charset val="134"/>
    </font>
    <font>
      <sz val="10"/>
      <color theme="1"/>
      <name val="宋体"/>
      <charset val="134"/>
    </font>
    <font>
      <sz val="11"/>
      <name val="宋体"/>
      <charset val="134"/>
    </font>
    <font>
      <b/>
      <sz val="11"/>
      <color indexed="55"/>
      <name val="宋体"/>
      <charset val="134"/>
    </font>
    <font>
      <sz val="11"/>
      <color theme="1"/>
      <name val="宋体"/>
      <charset val="134"/>
    </font>
    <font>
      <sz val="12"/>
      <color indexed="8"/>
      <name val="宋体"/>
      <charset val="134"/>
    </font>
    <font>
      <sz val="12"/>
      <color theme="1"/>
      <name val="宋体"/>
      <charset val="134"/>
    </font>
    <font>
      <b/>
      <sz val="18"/>
      <name val="新宋体"/>
      <charset val="134"/>
    </font>
    <font>
      <sz val="12"/>
      <name val="新宋体"/>
      <charset val="134"/>
    </font>
    <font>
      <b/>
      <sz val="12"/>
      <name val="新宋体"/>
      <charset val="134"/>
    </font>
    <font>
      <b/>
      <sz val="14"/>
      <name val="新宋体"/>
      <charset val="134"/>
    </font>
    <font>
      <sz val="10"/>
      <name val="新宋体"/>
      <charset val="134"/>
    </font>
    <font>
      <b/>
      <sz val="11"/>
      <name val="新宋体"/>
      <charset val="134"/>
    </font>
    <font>
      <sz val="11"/>
      <name val="新宋体"/>
      <charset val="134"/>
    </font>
    <font>
      <sz val="11"/>
      <color theme="1"/>
      <name val="新宋体"/>
      <charset val="134"/>
    </font>
    <font>
      <sz val="10"/>
      <color theme="1"/>
      <name val="新宋体"/>
      <charset val="134"/>
    </font>
    <font>
      <sz val="8"/>
      <name val="宋体"/>
      <charset val="134"/>
    </font>
    <font>
      <sz val="9"/>
      <name val="宋体"/>
      <charset val="134"/>
    </font>
    <font>
      <b/>
      <sz val="11"/>
      <color indexed="55"/>
      <name val="新宋体"/>
      <charset val="134"/>
    </font>
    <font>
      <b/>
      <sz val="11"/>
      <color indexed="8"/>
      <name val="新宋体"/>
      <charset val="134"/>
    </font>
    <font>
      <sz val="11"/>
      <color indexed="55"/>
      <name val="新宋体"/>
      <charset val="134"/>
    </font>
    <font>
      <sz val="11"/>
      <color indexed="63"/>
      <name val="新宋体"/>
      <charset val="134"/>
    </font>
    <font>
      <b/>
      <sz val="10"/>
      <color indexed="55"/>
      <name val="新宋体"/>
      <charset val="134"/>
    </font>
    <font>
      <sz val="9"/>
      <color theme="1"/>
      <name val="新宋体"/>
      <charset val="134"/>
    </font>
    <font>
      <b/>
      <sz val="9"/>
      <name val="新宋体"/>
      <charset val="134"/>
    </font>
    <font>
      <sz val="10"/>
      <color indexed="8"/>
      <name val="新宋体"/>
      <charset val="134"/>
    </font>
    <font>
      <sz val="11"/>
      <color indexed="8"/>
      <name val="新宋体"/>
      <charset val="134"/>
    </font>
    <font>
      <sz val="12"/>
      <color indexed="8"/>
      <name val="新宋体"/>
      <charset val="134"/>
    </font>
    <font>
      <sz val="10"/>
      <name val="Times New Roman"/>
      <charset val="134"/>
    </font>
    <font>
      <sz val="9"/>
      <name val="新宋体"/>
      <charset val="134"/>
    </font>
    <font>
      <sz val="10"/>
      <color indexed="8"/>
      <name val="宋体"/>
      <charset val="134"/>
    </font>
    <font>
      <sz val="11"/>
      <color indexed="8"/>
      <name val="宋体"/>
      <charset val="134"/>
    </font>
    <font>
      <sz val="9"/>
      <color rgb="FF00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Times New Roman"/>
      <charset val="134"/>
    </font>
    <font>
      <b/>
      <sz val="8"/>
      <name val="Arial"/>
      <charset val="134"/>
    </font>
    <font>
      <b/>
      <sz val="12"/>
      <name val="Arial"/>
      <charset val="134"/>
    </font>
    <font>
      <vertAlign val="superscript"/>
      <sz val="11"/>
      <name val="新宋体"/>
      <charset val="134"/>
    </font>
    <font>
      <vertAlign val="superscript"/>
      <sz val="11"/>
      <color indexed="8"/>
      <name val="宋体"/>
      <charset val="134"/>
    </font>
    <font>
      <vertAlign val="superscript"/>
      <sz val="11"/>
      <color theme="1"/>
      <name val="新宋体"/>
      <charset val="134"/>
    </font>
    <font>
      <sz val="9"/>
      <color rgb="FF000000"/>
      <name val="Times New Roman"/>
      <charset val="134"/>
    </font>
    <font>
      <vertAlign val="superscript"/>
      <sz val="10"/>
      <color theme="1"/>
      <name val="新宋体"/>
      <charset val="134"/>
    </font>
    <font>
      <vertAlign val="superscript"/>
      <sz val="11"/>
      <name val="宋体"/>
      <charset val="134"/>
    </font>
  </fonts>
  <fills count="41">
    <fill>
      <patternFill patternType="none"/>
    </fill>
    <fill>
      <patternFill patternType="gray125"/>
    </fill>
    <fill>
      <patternFill patternType="solid">
        <fgColor indexed="42"/>
        <bgColor indexed="64"/>
      </patternFill>
    </fill>
    <fill>
      <patternFill patternType="solid">
        <fgColor indexed="43"/>
        <bgColor indexed="64"/>
      </patternFill>
    </fill>
    <fill>
      <patternFill patternType="solid">
        <fgColor indexed="8"/>
        <bgColor indexed="64"/>
      </patternFill>
    </fill>
    <fill>
      <patternFill patternType="solid">
        <fgColor indexed="13"/>
        <bgColor indexed="64"/>
      </patternFill>
    </fill>
    <fill>
      <patternFill patternType="solid">
        <fgColor indexed="22"/>
        <bgColor indexed="64"/>
      </patternFill>
    </fill>
    <fill>
      <patternFill patternType="solid">
        <fgColor rgb="FFFFFF00"/>
        <bgColor indexed="64"/>
      </patternFill>
    </fill>
    <fill>
      <patternFill patternType="solid">
        <fgColor rgb="FFFF0000"/>
        <bgColor indexed="64"/>
      </patternFill>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7">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auto="1"/>
      </top>
      <bottom style="medium">
        <color auto="1"/>
      </bottom>
      <diagonal/>
    </border>
  </borders>
  <cellStyleXfs count="66">
    <xf numFmtId="0" fontId="0" fillId="0" borderId="0"/>
    <xf numFmtId="43" fontId="37" fillId="0" borderId="0" applyFont="0" applyFill="0" applyBorder="0" applyAlignment="0" applyProtection="0">
      <alignment vertical="center"/>
    </xf>
    <xf numFmtId="44" fontId="37" fillId="0" borderId="0" applyFont="0" applyFill="0" applyBorder="0" applyAlignment="0" applyProtection="0">
      <alignment vertical="center"/>
    </xf>
    <xf numFmtId="9" fontId="37" fillId="0" borderId="0" applyFont="0" applyFill="0" applyBorder="0" applyAlignment="0" applyProtection="0">
      <alignment vertical="center"/>
    </xf>
    <xf numFmtId="41" fontId="37" fillId="0" borderId="0" applyFont="0" applyFill="0" applyBorder="0" applyAlignment="0" applyProtection="0">
      <alignment vertical="center"/>
    </xf>
    <xf numFmtId="42" fontId="37" fillId="0" borderId="0" applyFont="0" applyFill="0" applyBorder="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7" fillId="10" borderId="18" applyNumberFormat="0" applyFont="0" applyAlignment="0" applyProtection="0">
      <alignment vertical="center"/>
    </xf>
    <xf numFmtId="0" fontId="40"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3" fillId="0" borderId="19" applyNumberFormat="0" applyFill="0" applyAlignment="0" applyProtection="0">
      <alignment vertical="center"/>
    </xf>
    <xf numFmtId="0" fontId="44" fillId="0" borderId="19" applyNumberFormat="0" applyFill="0" applyAlignment="0" applyProtection="0">
      <alignment vertical="center"/>
    </xf>
    <xf numFmtId="0" fontId="45" fillId="0" borderId="20" applyNumberFormat="0" applyFill="0" applyAlignment="0" applyProtection="0">
      <alignment vertical="center"/>
    </xf>
    <xf numFmtId="0" fontId="45" fillId="0" borderId="0" applyNumberFormat="0" applyFill="0" applyBorder="0" applyAlignment="0" applyProtection="0">
      <alignment vertical="center"/>
    </xf>
    <xf numFmtId="0" fontId="46" fillId="11" borderId="21" applyNumberFormat="0" applyAlignment="0" applyProtection="0">
      <alignment vertical="center"/>
    </xf>
    <xf numFmtId="0" fontId="47" fillId="12" borderId="22" applyNumberFormat="0" applyAlignment="0" applyProtection="0">
      <alignment vertical="center"/>
    </xf>
    <xf numFmtId="0" fontId="48" fillId="12" borderId="21" applyNumberFormat="0" applyAlignment="0" applyProtection="0">
      <alignment vertical="center"/>
    </xf>
    <xf numFmtId="0" fontId="49" fillId="13" borderId="23" applyNumberFormat="0" applyAlignment="0" applyProtection="0">
      <alignment vertical="center"/>
    </xf>
    <xf numFmtId="0" fontId="50" fillId="0" borderId="24" applyNumberFormat="0" applyFill="0" applyAlignment="0" applyProtection="0">
      <alignment vertical="center"/>
    </xf>
    <xf numFmtId="0" fontId="51" fillId="0" borderId="25" applyNumberFormat="0" applyFill="0" applyAlignment="0" applyProtection="0">
      <alignment vertical="center"/>
    </xf>
    <xf numFmtId="0" fontId="52" fillId="14" borderId="0" applyNumberFormat="0" applyBorder="0" applyAlignment="0" applyProtection="0">
      <alignment vertical="center"/>
    </xf>
    <xf numFmtId="0" fontId="53" fillId="15" borderId="0" applyNumberFormat="0" applyBorder="0" applyAlignment="0" applyProtection="0">
      <alignment vertical="center"/>
    </xf>
    <xf numFmtId="0" fontId="54" fillId="16" borderId="0" applyNumberFormat="0" applyBorder="0" applyAlignment="0" applyProtection="0">
      <alignment vertical="center"/>
    </xf>
    <xf numFmtId="0" fontId="55" fillId="17" borderId="0" applyNumberFormat="0" applyBorder="0" applyAlignment="0" applyProtection="0">
      <alignment vertical="center"/>
    </xf>
    <xf numFmtId="0" fontId="56" fillId="18" borderId="0" applyNumberFormat="0" applyBorder="0" applyAlignment="0" applyProtection="0">
      <alignment vertical="center"/>
    </xf>
    <xf numFmtId="0" fontId="56" fillId="19" borderId="0" applyNumberFormat="0" applyBorder="0" applyAlignment="0" applyProtection="0">
      <alignment vertical="center"/>
    </xf>
    <xf numFmtId="0" fontId="55" fillId="20" borderId="0" applyNumberFormat="0" applyBorder="0" applyAlignment="0" applyProtection="0">
      <alignment vertical="center"/>
    </xf>
    <xf numFmtId="0" fontId="55" fillId="21" borderId="0" applyNumberFormat="0" applyBorder="0" applyAlignment="0" applyProtection="0">
      <alignment vertical="center"/>
    </xf>
    <xf numFmtId="0" fontId="56" fillId="22" borderId="0" applyNumberFormat="0" applyBorder="0" applyAlignment="0" applyProtection="0">
      <alignment vertical="center"/>
    </xf>
    <xf numFmtId="0" fontId="56" fillId="23" borderId="0" applyNumberFormat="0" applyBorder="0" applyAlignment="0" applyProtection="0">
      <alignment vertical="center"/>
    </xf>
    <xf numFmtId="0" fontId="55" fillId="24" borderId="0" applyNumberFormat="0" applyBorder="0" applyAlignment="0" applyProtection="0">
      <alignment vertical="center"/>
    </xf>
    <xf numFmtId="0" fontId="55" fillId="25" borderId="0" applyNumberFormat="0" applyBorder="0" applyAlignment="0" applyProtection="0">
      <alignment vertical="center"/>
    </xf>
    <xf numFmtId="0" fontId="56" fillId="26" borderId="0" applyNumberFormat="0" applyBorder="0" applyAlignment="0" applyProtection="0">
      <alignment vertical="center"/>
    </xf>
    <xf numFmtId="0" fontId="56" fillId="27" borderId="0" applyNumberFormat="0" applyBorder="0" applyAlignment="0" applyProtection="0">
      <alignment vertical="center"/>
    </xf>
    <xf numFmtId="0" fontId="55" fillId="28" borderId="0" applyNumberFormat="0" applyBorder="0" applyAlignment="0" applyProtection="0">
      <alignment vertical="center"/>
    </xf>
    <xf numFmtId="0" fontId="55" fillId="29" borderId="0" applyNumberFormat="0" applyBorder="0" applyAlignment="0" applyProtection="0">
      <alignment vertical="center"/>
    </xf>
    <xf numFmtId="0" fontId="56" fillId="30" borderId="0" applyNumberFormat="0" applyBorder="0" applyAlignment="0" applyProtection="0">
      <alignment vertical="center"/>
    </xf>
    <xf numFmtId="0" fontId="56" fillId="31" borderId="0" applyNumberFormat="0" applyBorder="0" applyAlignment="0" applyProtection="0">
      <alignment vertical="center"/>
    </xf>
    <xf numFmtId="0" fontId="55" fillId="32" borderId="0" applyNumberFormat="0" applyBorder="0" applyAlignment="0" applyProtection="0">
      <alignment vertical="center"/>
    </xf>
    <xf numFmtId="0" fontId="55" fillId="33" borderId="0" applyNumberFormat="0" applyBorder="0" applyAlignment="0" applyProtection="0">
      <alignment vertical="center"/>
    </xf>
    <xf numFmtId="0" fontId="56" fillId="34" borderId="0" applyNumberFormat="0" applyBorder="0" applyAlignment="0" applyProtection="0">
      <alignment vertical="center"/>
    </xf>
    <xf numFmtId="0" fontId="56" fillId="35" borderId="0" applyNumberFormat="0" applyBorder="0" applyAlignment="0" applyProtection="0">
      <alignment vertical="center"/>
    </xf>
    <xf numFmtId="0" fontId="55" fillId="36" borderId="0" applyNumberFormat="0" applyBorder="0" applyAlignment="0" applyProtection="0">
      <alignment vertical="center"/>
    </xf>
    <xf numFmtId="0" fontId="55" fillId="37" borderId="0" applyNumberFormat="0" applyBorder="0" applyAlignment="0" applyProtection="0">
      <alignment vertical="center"/>
    </xf>
    <xf numFmtId="0" fontId="56" fillId="38" borderId="0" applyNumberFormat="0" applyBorder="0" applyAlignment="0" applyProtection="0">
      <alignment vertical="center"/>
    </xf>
    <xf numFmtId="0" fontId="56" fillId="39" borderId="0" applyNumberFormat="0" applyBorder="0" applyAlignment="0" applyProtection="0">
      <alignment vertical="center"/>
    </xf>
    <xf numFmtId="0" fontId="55" fillId="40" borderId="0" applyNumberFormat="0" applyBorder="0" applyAlignment="0" applyProtection="0">
      <alignment vertical="center"/>
    </xf>
    <xf numFmtId="0" fontId="57" fillId="0" borderId="0"/>
    <xf numFmtId="0" fontId="57" fillId="0" borderId="0"/>
    <xf numFmtId="176"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176" fontId="0" fillId="0" borderId="0" applyFont="0" applyFill="0" applyBorder="0" applyAlignment="0" applyProtection="0"/>
    <xf numFmtId="176" fontId="0" fillId="0" borderId="0" applyFont="0" applyFill="0" applyBorder="0" applyAlignment="0" applyProtection="0"/>
    <xf numFmtId="0" fontId="0" fillId="0" borderId="0"/>
    <xf numFmtId="176" fontId="0" fillId="0" borderId="0" applyFont="0" applyFill="0" applyBorder="0" applyAlignment="0" applyProtection="0"/>
    <xf numFmtId="0" fontId="0" fillId="0" borderId="0"/>
    <xf numFmtId="0" fontId="58" fillId="0" borderId="8">
      <alignment horizontal="center"/>
    </xf>
    <xf numFmtId="0" fontId="59" fillId="0" borderId="26" applyNumberFormat="0" applyAlignment="0" applyProtection="0">
      <alignment horizontal="left" vertical="center"/>
    </xf>
    <xf numFmtId="0" fontId="59" fillId="0" borderId="17">
      <alignment horizontal="left" vertical="center"/>
    </xf>
    <xf numFmtId="0" fontId="1" fillId="0" borderId="0"/>
    <xf numFmtId="0" fontId="0" fillId="0" borderId="0"/>
    <xf numFmtId="43" fontId="0" fillId="0" borderId="0" applyFont="0" applyFill="0" applyBorder="0" applyAlignment="0" applyProtection="0"/>
  </cellStyleXfs>
  <cellXfs count="200">
    <xf numFmtId="0" fontId="0" fillId="0" borderId="0" xfId="0"/>
    <xf numFmtId="0" fontId="1" fillId="0" borderId="0" xfId="63"/>
    <xf numFmtId="0" fontId="2" fillId="2" borderId="0" xfId="63" applyFont="1" applyFill="1"/>
    <xf numFmtId="0" fontId="1" fillId="2" borderId="0" xfId="63" applyFill="1"/>
    <xf numFmtId="0" fontId="1" fillId="3" borderId="1" xfId="63" applyFill="1" applyBorder="1"/>
    <xf numFmtId="0" fontId="3" fillId="4" borderId="2" xfId="63" applyFont="1" applyFill="1" applyBorder="1" applyAlignment="1">
      <alignment horizontal="center"/>
    </xf>
    <xf numFmtId="0" fontId="4" fillId="5" borderId="3" xfId="63" applyFont="1" applyFill="1" applyBorder="1" applyAlignment="1">
      <alignment horizontal="center"/>
    </xf>
    <xf numFmtId="0" fontId="0" fillId="0" borderId="4" xfId="0" applyBorder="1" applyAlignment="1">
      <alignment horizontal="center" vertical="center"/>
    </xf>
    <xf numFmtId="0" fontId="0" fillId="0" borderId="4" xfId="0" applyBorder="1"/>
    <xf numFmtId="0" fontId="0" fillId="0" borderId="5" xfId="0" applyBorder="1"/>
    <xf numFmtId="0" fontId="2" fillId="0" borderId="0" xfId="0" applyFont="1" applyFill="1" applyAlignment="1">
      <alignment wrapText="1"/>
    </xf>
    <xf numFmtId="0" fontId="5" fillId="0" borderId="6" xfId="0" applyFont="1" applyFill="1" applyBorder="1" applyAlignment="1">
      <alignment wrapText="1"/>
    </xf>
    <xf numFmtId="0" fontId="2" fillId="0" borderId="6" xfId="0" applyFont="1" applyFill="1" applyBorder="1" applyAlignment="1">
      <alignment wrapText="1"/>
    </xf>
    <xf numFmtId="0" fontId="5" fillId="0" borderId="0" xfId="0" applyFont="1" applyFill="1" applyAlignment="1">
      <alignment wrapText="1"/>
    </xf>
    <xf numFmtId="0" fontId="6" fillId="6" borderId="7" xfId="0" applyFont="1" applyFill="1" applyBorder="1" applyAlignment="1">
      <alignment wrapText="1"/>
    </xf>
    <xf numFmtId="0" fontId="5" fillId="0" borderId="0" xfId="0" applyFont="1" applyAlignment="1">
      <alignment wrapText="1"/>
    </xf>
    <xf numFmtId="0" fontId="6" fillId="0" borderId="0" xfId="0" applyFont="1" applyAlignment="1">
      <alignment wrapText="1"/>
    </xf>
    <xf numFmtId="0" fontId="7" fillId="6" borderId="7" xfId="0" applyFont="1" applyFill="1" applyBorder="1" applyAlignment="1">
      <alignment wrapText="1"/>
    </xf>
    <xf numFmtId="0" fontId="6" fillId="6" borderId="0" xfId="0" applyFont="1" applyFill="1" applyAlignment="1">
      <alignment wrapText="1"/>
    </xf>
    <xf numFmtId="0" fontId="8" fillId="0" borderId="0" xfId="0" applyFont="1" applyAlignment="1">
      <alignment wrapText="1"/>
    </xf>
    <xf numFmtId="0" fontId="6" fillId="0" borderId="0" xfId="0" applyFont="1" applyFill="1" applyAlignment="1">
      <alignment wrapText="1"/>
    </xf>
    <xf numFmtId="0" fontId="6" fillId="7" borderId="0" xfId="0" applyFont="1" applyFill="1" applyAlignment="1">
      <alignment wrapText="1"/>
    </xf>
    <xf numFmtId="0" fontId="2" fillId="0" borderId="0" xfId="0" applyFont="1" applyAlignment="1">
      <alignment wrapText="1"/>
    </xf>
    <xf numFmtId="0" fontId="8" fillId="0" borderId="0" xfId="0" applyFont="1" applyFill="1" applyAlignment="1">
      <alignment wrapText="1"/>
    </xf>
    <xf numFmtId="0" fontId="6" fillId="8" borderId="0" xfId="0" applyFont="1" applyFill="1" applyAlignment="1">
      <alignment wrapText="1"/>
    </xf>
    <xf numFmtId="0" fontId="2" fillId="0" borderId="0" xfId="0" applyFont="1" applyAlignment="1">
      <alignment vertical="center"/>
    </xf>
    <xf numFmtId="0" fontId="9" fillId="0" borderId="0" xfId="0" applyFont="1" applyFill="1"/>
    <xf numFmtId="0" fontId="0" fillId="0" borderId="0" xfId="0" applyFill="1" applyAlignment="1">
      <alignment vertical="center"/>
    </xf>
    <xf numFmtId="0" fontId="10" fillId="0" borderId="0" xfId="0" applyFont="1" applyFill="1"/>
    <xf numFmtId="0" fontId="0" fillId="0" borderId="0" xfId="0" applyFill="1"/>
    <xf numFmtId="0" fontId="9" fillId="9" borderId="0" xfId="0" applyFont="1" applyFill="1"/>
    <xf numFmtId="0" fontId="6" fillId="9" borderId="0" xfId="0" applyFont="1" applyFill="1" applyAlignment="1">
      <alignment wrapText="1"/>
    </xf>
    <xf numFmtId="0" fontId="2" fillId="0" borderId="6" xfId="0" applyFont="1" applyBorder="1" applyAlignment="1">
      <alignment wrapText="1"/>
    </xf>
    <xf numFmtId="0" fontId="6" fillId="9" borderId="6" xfId="0" applyFont="1" applyFill="1" applyBorder="1" applyAlignment="1">
      <alignment wrapText="1"/>
    </xf>
    <xf numFmtId="0" fontId="0" fillId="9" borderId="0" xfId="0" applyFill="1" applyAlignment="1">
      <alignment vertical="center"/>
    </xf>
    <xf numFmtId="0" fontId="10" fillId="0" borderId="0" xfId="0" applyFont="1"/>
    <xf numFmtId="0" fontId="0" fillId="9" borderId="0" xfId="0" applyFill="1"/>
    <xf numFmtId="0" fontId="2" fillId="0" borderId="7" xfId="0" applyFont="1" applyBorder="1" applyAlignment="1">
      <alignment wrapText="1"/>
    </xf>
    <xf numFmtId="0" fontId="9" fillId="0" borderId="0" xfId="0" applyFont="1" applyAlignment="1">
      <alignment vertical="center"/>
    </xf>
    <xf numFmtId="0" fontId="6" fillId="0" borderId="0" xfId="0" applyFont="1" applyAlignment="1">
      <alignment horizontal="center" vertical="center" wrapText="1"/>
    </xf>
    <xf numFmtId="0" fontId="2" fillId="0" borderId="0" xfId="0" applyFont="1" applyAlignment="1">
      <alignment horizontal="left" wrapText="1"/>
    </xf>
    <xf numFmtId="0" fontId="6" fillId="0" borderId="0" xfId="0" applyFont="1" applyAlignment="1">
      <alignment horizontal="center" wrapText="1"/>
    </xf>
    <xf numFmtId="0" fontId="6" fillId="0" borderId="0" xfId="0" applyFont="1" applyAlignment="1">
      <alignment horizontal="right" vertical="center" wrapText="1"/>
    </xf>
    <xf numFmtId="0" fontId="11" fillId="0" borderId="0" xfId="0" applyFont="1" applyAlignment="1">
      <alignment horizontal="center" vertical="center" wrapText="1"/>
    </xf>
    <xf numFmtId="0" fontId="12" fillId="0" borderId="0" xfId="0" applyFont="1" applyAlignment="1">
      <alignment horizontal="center" vertical="center"/>
    </xf>
    <xf numFmtId="0" fontId="0" fillId="0" borderId="0" xfId="0" applyAlignment="1">
      <alignment horizontal="center" vertical="center"/>
    </xf>
    <xf numFmtId="0" fontId="13" fillId="0" borderId="0" xfId="0" applyFont="1" applyAlignment="1">
      <alignment horizontal="left" vertical="center" wrapText="1"/>
    </xf>
    <xf numFmtId="0" fontId="13" fillId="0" borderId="0" xfId="0" applyFont="1" applyAlignment="1">
      <alignment horizontal="left" vertical="center"/>
    </xf>
    <xf numFmtId="31" fontId="13" fillId="0" borderId="0" xfId="0" applyNumberFormat="1" applyFont="1" applyAlignment="1">
      <alignment horizontal="center" vertical="center"/>
    </xf>
    <xf numFmtId="0" fontId="12" fillId="0" borderId="0" xfId="0" applyFont="1"/>
    <xf numFmtId="0" fontId="14" fillId="0" borderId="8" xfId="0" applyFont="1" applyBorder="1" applyAlignment="1">
      <alignment horizontal="center" vertical="center" wrapText="1"/>
    </xf>
    <xf numFmtId="0" fontId="14" fillId="0" borderId="9" xfId="0" applyFont="1" applyBorder="1" applyAlignment="1">
      <alignment horizontal="center" vertical="center" wrapText="1"/>
    </xf>
    <xf numFmtId="0" fontId="14" fillId="0" borderId="10" xfId="0" applyFont="1" applyBorder="1" applyAlignment="1">
      <alignment horizontal="center" vertical="center" wrapText="1"/>
    </xf>
    <xf numFmtId="0" fontId="15" fillId="0" borderId="0" xfId="0" applyFont="1" applyAlignment="1">
      <alignment wrapText="1"/>
    </xf>
    <xf numFmtId="0" fontId="14" fillId="0" borderId="11" xfId="0" applyFont="1" applyBorder="1" applyAlignment="1">
      <alignment horizontal="center" vertical="center" wrapText="1"/>
    </xf>
    <xf numFmtId="0" fontId="14" fillId="0" borderId="12" xfId="0" applyFont="1" applyBorder="1" applyAlignment="1">
      <alignment horizontal="center" vertical="center" wrapText="1"/>
    </xf>
    <xf numFmtId="0" fontId="14" fillId="0" borderId="13" xfId="0" applyFont="1" applyBorder="1" applyAlignment="1">
      <alignment horizontal="center" vertical="center" wrapText="1"/>
    </xf>
    <xf numFmtId="0" fontId="14" fillId="0" borderId="14" xfId="0" applyFont="1" applyBorder="1" applyAlignment="1">
      <alignment horizontal="center" vertical="center" wrapText="1"/>
    </xf>
    <xf numFmtId="0" fontId="16" fillId="0" borderId="6" xfId="0" applyFont="1" applyBorder="1" applyAlignment="1">
      <alignment horizontal="center" vertical="center" wrapText="1"/>
    </xf>
    <xf numFmtId="0" fontId="13" fillId="0" borderId="6" xfId="0" applyFont="1" applyBorder="1" applyAlignment="1">
      <alignment horizontal="left" vertical="center" wrapText="1"/>
    </xf>
    <xf numFmtId="0" fontId="17" fillId="0" borderId="6" xfId="0" applyFont="1" applyBorder="1" applyAlignment="1">
      <alignment horizontal="center" vertical="center" wrapText="1"/>
    </xf>
    <xf numFmtId="0" fontId="15" fillId="0" borderId="6" xfId="0" applyFont="1" applyBorder="1" applyAlignment="1">
      <alignment vertical="center" wrapText="1"/>
    </xf>
    <xf numFmtId="0" fontId="6" fillId="0" borderId="6" xfId="0" applyFont="1" applyBorder="1" applyAlignment="1">
      <alignment horizontal="center" vertical="center" wrapText="1"/>
    </xf>
    <xf numFmtId="0" fontId="17" fillId="0" borderId="6" xfId="0" applyFont="1" applyBorder="1" applyAlignment="1">
      <alignment horizontal="left" vertical="center" wrapText="1"/>
    </xf>
    <xf numFmtId="0" fontId="15" fillId="0" borderId="6" xfId="0" applyFont="1" applyBorder="1" applyAlignment="1">
      <alignment horizontal="center" vertical="center" wrapText="1"/>
    </xf>
    <xf numFmtId="0" fontId="15" fillId="0" borderId="6" xfId="0" applyFont="1" applyBorder="1" applyAlignment="1">
      <alignment horizontal="left" vertical="center" wrapText="1"/>
    </xf>
    <xf numFmtId="0" fontId="6" fillId="0" borderId="6" xfId="0" applyFont="1" applyFill="1" applyBorder="1" applyAlignment="1">
      <alignment horizontal="center" vertical="center" wrapText="1"/>
    </xf>
    <xf numFmtId="0" fontId="6" fillId="0" borderId="6" xfId="0" applyFont="1" applyFill="1" applyBorder="1" applyAlignment="1">
      <alignment horizontal="left" vertical="center" wrapText="1"/>
    </xf>
    <xf numFmtId="0" fontId="17" fillId="0" borderId="6" xfId="0" applyFont="1" applyFill="1" applyBorder="1" applyAlignment="1">
      <alignment horizontal="center" vertical="center" wrapText="1"/>
    </xf>
    <xf numFmtId="0" fontId="15" fillId="0" borderId="6" xfId="0" applyFont="1" applyFill="1" applyBorder="1" applyAlignment="1">
      <alignment vertical="center" wrapText="1"/>
    </xf>
    <xf numFmtId="0" fontId="18" fillId="0" borderId="6" xfId="0" applyFont="1" applyFill="1" applyBorder="1" applyAlignment="1">
      <alignment vertical="center" wrapText="1"/>
    </xf>
    <xf numFmtId="0" fontId="8" fillId="0" borderId="6" xfId="0" applyFont="1" applyFill="1" applyBorder="1" applyAlignment="1">
      <alignment horizontal="center" vertical="center" wrapText="1"/>
    </xf>
    <xf numFmtId="0" fontId="18" fillId="0" borderId="6" xfId="0" applyFont="1" applyFill="1" applyBorder="1" applyAlignment="1">
      <alignment horizontal="center" vertical="center" wrapText="1"/>
    </xf>
    <xf numFmtId="0" fontId="19" fillId="0" borderId="6" xfId="0" applyFont="1" applyFill="1" applyBorder="1" applyAlignment="1">
      <alignment vertical="center" wrapText="1"/>
    </xf>
    <xf numFmtId="0" fontId="19" fillId="0" borderId="15" xfId="0" applyFont="1" applyFill="1" applyBorder="1" applyAlignment="1">
      <alignment wrapText="1"/>
    </xf>
    <xf numFmtId="0" fontId="19" fillId="0" borderId="6" xfId="0" applyFont="1" applyFill="1" applyBorder="1" applyAlignment="1">
      <alignment wrapText="1"/>
    </xf>
    <xf numFmtId="0" fontId="17" fillId="0" borderId="6" xfId="0" applyFont="1" applyFill="1" applyBorder="1" applyAlignment="1">
      <alignment horizontal="left" vertical="center" wrapText="1"/>
    </xf>
    <xf numFmtId="0" fontId="15" fillId="0" borderId="0" xfId="0" applyFont="1" applyFill="1" applyAlignment="1">
      <alignment wrapText="1"/>
    </xf>
    <xf numFmtId="0" fontId="20" fillId="0" borderId="6" xfId="0" applyFont="1" applyFill="1" applyBorder="1" applyAlignment="1">
      <alignment vertical="center" wrapText="1"/>
    </xf>
    <xf numFmtId="0" fontId="2" fillId="0" borderId="6" xfId="0" applyFont="1" applyFill="1" applyBorder="1" applyAlignment="1">
      <alignment vertical="center" wrapText="1"/>
    </xf>
    <xf numFmtId="0" fontId="2" fillId="0" borderId="15" xfId="0" applyFont="1" applyFill="1" applyBorder="1" applyAlignment="1">
      <alignment wrapText="1"/>
    </xf>
    <xf numFmtId="0" fontId="21" fillId="0" borderId="6" xfId="0" applyFont="1" applyFill="1" applyBorder="1" applyAlignment="1">
      <alignment vertical="center" wrapText="1"/>
    </xf>
    <xf numFmtId="0" fontId="19" fillId="0" borderId="6" xfId="0" applyFont="1" applyFill="1" applyBorder="1" applyAlignment="1">
      <alignment horizontal="left" vertical="center" wrapText="1"/>
    </xf>
    <xf numFmtId="0" fontId="19" fillId="0" borderId="0" xfId="0" applyFont="1" applyFill="1" applyAlignment="1">
      <alignment wrapText="1"/>
    </xf>
    <xf numFmtId="0" fontId="2" fillId="0" borderId="6" xfId="0" applyFont="1" applyFill="1" applyBorder="1" applyAlignment="1">
      <alignment horizontal="left" vertical="center" wrapText="1"/>
    </xf>
    <xf numFmtId="0" fontId="17" fillId="6" borderId="6" xfId="0" applyFont="1" applyFill="1" applyBorder="1" applyAlignment="1">
      <alignment horizontal="center" vertical="center" wrapText="1"/>
    </xf>
    <xf numFmtId="0" fontId="16" fillId="6" borderId="6" xfId="0" applyFont="1" applyFill="1" applyBorder="1" applyAlignment="1">
      <alignment horizontal="left" vertical="center" wrapText="1"/>
    </xf>
    <xf numFmtId="0" fontId="15" fillId="6" borderId="6" xfId="0" applyFont="1" applyFill="1" applyBorder="1" applyAlignment="1">
      <alignment vertical="center" wrapText="1"/>
    </xf>
    <xf numFmtId="0" fontId="17" fillId="6" borderId="7" xfId="0" applyFont="1" applyFill="1" applyBorder="1" applyAlignment="1">
      <alignment wrapText="1"/>
    </xf>
    <xf numFmtId="0" fontId="16" fillId="0" borderId="6" xfId="0" applyFont="1" applyBorder="1" applyAlignment="1">
      <alignment horizontal="left" vertical="center" wrapText="1"/>
    </xf>
    <xf numFmtId="0" fontId="18" fillId="0" borderId="6" xfId="0" applyFont="1" applyBorder="1" applyAlignment="1">
      <alignment horizontal="center" vertical="center" wrapText="1"/>
    </xf>
    <xf numFmtId="0" fontId="18" fillId="0" borderId="6" xfId="0" applyFont="1" applyBorder="1" applyAlignment="1">
      <alignment horizontal="left" vertical="center" wrapText="1"/>
    </xf>
    <xf numFmtId="0" fontId="19" fillId="0" borderId="6" xfId="0" applyFont="1" applyBorder="1" applyAlignment="1">
      <alignment vertical="center" wrapText="1"/>
    </xf>
    <xf numFmtId="0" fontId="19" fillId="0" borderId="0" xfId="0" applyFont="1" applyAlignment="1">
      <alignment wrapText="1"/>
    </xf>
    <xf numFmtId="0" fontId="17" fillId="9" borderId="6" xfId="0" applyFont="1" applyFill="1" applyBorder="1" applyAlignment="1">
      <alignment vertical="center"/>
    </xf>
    <xf numFmtId="0" fontId="17" fillId="0" borderId="0" xfId="0" applyFont="1" applyAlignment="1">
      <alignment wrapText="1"/>
    </xf>
    <xf numFmtId="0" fontId="22" fillId="6" borderId="6" xfId="0" applyFont="1" applyFill="1" applyBorder="1" applyAlignment="1">
      <alignment horizontal="center" vertical="center" wrapText="1"/>
    </xf>
    <xf numFmtId="0" fontId="23" fillId="6" borderId="6" xfId="0" applyFont="1" applyFill="1" applyBorder="1" applyAlignment="1">
      <alignment horizontal="left" vertical="center" wrapText="1"/>
    </xf>
    <xf numFmtId="0" fontId="24" fillId="6" borderId="6" xfId="0" applyFont="1" applyFill="1" applyBorder="1" applyAlignment="1">
      <alignment horizontal="center" vertical="center" wrapText="1"/>
    </xf>
    <xf numFmtId="0" fontId="25" fillId="6" borderId="6" xfId="0" applyFont="1" applyFill="1" applyBorder="1" applyAlignment="1">
      <alignment horizontal="center" vertical="center" wrapText="1"/>
    </xf>
    <xf numFmtId="0" fontId="26" fillId="6" borderId="6" xfId="0" applyFont="1" applyFill="1" applyBorder="1" applyAlignment="1">
      <alignment vertical="center" wrapText="1"/>
    </xf>
    <xf numFmtId="0" fontId="22" fillId="6" borderId="7" xfId="0" applyFont="1" applyFill="1" applyBorder="1" applyAlignment="1">
      <alignment wrapText="1"/>
    </xf>
    <xf numFmtId="0" fontId="18" fillId="0" borderId="6" xfId="0" applyFont="1" applyBorder="1" applyAlignment="1">
      <alignment vertical="center" wrapText="1"/>
    </xf>
    <xf numFmtId="0" fontId="8" fillId="0" borderId="6" xfId="0" applyFont="1" applyBorder="1" applyAlignment="1">
      <alignment horizontal="center" vertical="center" wrapText="1"/>
    </xf>
    <xf numFmtId="0" fontId="13" fillId="0" borderId="16" xfId="0" applyFont="1" applyBorder="1" applyAlignment="1">
      <alignment horizontal="left" vertical="center" wrapText="1"/>
    </xf>
    <xf numFmtId="0" fontId="13" fillId="0" borderId="17" xfId="0" applyFont="1" applyBorder="1" applyAlignment="1">
      <alignment horizontal="left" vertical="center" wrapText="1"/>
    </xf>
    <xf numFmtId="0" fontId="13" fillId="0" borderId="15" xfId="0" applyFont="1" applyBorder="1" applyAlignment="1">
      <alignment horizontal="left" vertical="center" wrapText="1"/>
    </xf>
    <xf numFmtId="0" fontId="18" fillId="0" borderId="0" xfId="0" applyFont="1" applyAlignment="1">
      <alignment wrapText="1"/>
    </xf>
    <xf numFmtId="0" fontId="16" fillId="0" borderId="6" xfId="0" applyFont="1" applyFill="1" applyBorder="1" applyAlignment="1">
      <alignment horizontal="center" vertical="center" wrapText="1"/>
    </xf>
    <xf numFmtId="0" fontId="13" fillId="0" borderId="6" xfId="0" applyFont="1" applyFill="1" applyBorder="1" applyAlignment="1">
      <alignment horizontal="left" vertical="center" wrapText="1"/>
    </xf>
    <xf numFmtId="0" fontId="6" fillId="7" borderId="6" xfId="0" applyFont="1" applyFill="1" applyBorder="1" applyAlignment="1">
      <alignment horizontal="center" vertical="center" wrapText="1"/>
    </xf>
    <xf numFmtId="0" fontId="17" fillId="7" borderId="6" xfId="0" applyFont="1" applyFill="1" applyBorder="1" applyAlignment="1">
      <alignment horizontal="left" vertical="center" wrapText="1"/>
    </xf>
    <xf numFmtId="0" fontId="17" fillId="7" borderId="6" xfId="0" applyFont="1" applyFill="1" applyBorder="1" applyAlignment="1">
      <alignment horizontal="center" vertical="center" wrapText="1"/>
    </xf>
    <xf numFmtId="0" fontId="15" fillId="7" borderId="6" xfId="0" applyFont="1" applyFill="1" applyBorder="1" applyAlignment="1">
      <alignment horizontal="center" vertical="center" wrapText="1"/>
    </xf>
    <xf numFmtId="0" fontId="15" fillId="7" borderId="6" xfId="0" applyFont="1" applyFill="1" applyBorder="1" applyAlignment="1">
      <alignment horizontal="left" vertical="center" wrapText="1"/>
    </xf>
    <xf numFmtId="0" fontId="15" fillId="7" borderId="0" xfId="0" applyFont="1" applyFill="1" applyAlignment="1">
      <alignment wrapText="1"/>
    </xf>
    <xf numFmtId="0" fontId="6" fillId="0" borderId="6" xfId="0" applyFont="1" applyBorder="1" applyAlignment="1">
      <alignment horizontal="left" vertical="center" wrapText="1"/>
    </xf>
    <xf numFmtId="0" fontId="18" fillId="0" borderId="6" xfId="0" applyFont="1" applyFill="1" applyBorder="1" applyAlignment="1">
      <alignment horizontal="left" vertical="center" wrapText="1"/>
    </xf>
    <xf numFmtId="0" fontId="18" fillId="0" borderId="0" xfId="0" applyFont="1" applyFill="1" applyAlignment="1">
      <alignment wrapText="1"/>
    </xf>
    <xf numFmtId="0" fontId="17" fillId="8" borderId="6" xfId="0" applyFont="1" applyFill="1" applyBorder="1" applyAlignment="1">
      <alignment horizontal="center" vertical="center" wrapText="1"/>
    </xf>
    <xf numFmtId="0" fontId="17" fillId="8" borderId="6" xfId="0" applyFont="1" applyFill="1" applyBorder="1" applyAlignment="1">
      <alignment horizontal="left" vertical="center" wrapText="1"/>
    </xf>
    <xf numFmtId="0" fontId="15" fillId="8" borderId="6" xfId="0" applyFont="1" applyFill="1" applyBorder="1" applyAlignment="1">
      <alignment vertical="center" wrapText="1"/>
    </xf>
    <xf numFmtId="0" fontId="15" fillId="8" borderId="0" xfId="0" applyFont="1" applyFill="1" applyAlignment="1">
      <alignment wrapText="1"/>
    </xf>
    <xf numFmtId="0" fontId="2" fillId="0" borderId="6" xfId="0" applyFont="1" applyBorder="1" applyAlignment="1">
      <alignment vertical="center" wrapText="1"/>
    </xf>
    <xf numFmtId="0" fontId="16" fillId="0" borderId="16" xfId="0" applyFont="1" applyBorder="1" applyAlignment="1">
      <alignment horizontal="left" vertical="center" wrapText="1"/>
    </xf>
    <xf numFmtId="0" fontId="16" fillId="0" borderId="17" xfId="0" applyFont="1" applyBorder="1" applyAlignment="1">
      <alignment horizontal="left" vertical="center" wrapText="1"/>
    </xf>
    <xf numFmtId="0" fontId="16" fillId="0" borderId="15" xfId="0" applyFont="1" applyBorder="1" applyAlignment="1">
      <alignment horizontal="left" vertical="center" wrapText="1"/>
    </xf>
    <xf numFmtId="0" fontId="27" fillId="0" borderId="6" xfId="0" applyFont="1" applyBorder="1" applyAlignment="1">
      <alignment vertical="center" wrapText="1"/>
    </xf>
    <xf numFmtId="0" fontId="19" fillId="0" borderId="6" xfId="0" applyFont="1" applyBorder="1" applyAlignment="1">
      <alignment horizontal="center" vertical="center" wrapText="1"/>
    </xf>
    <xf numFmtId="0" fontId="17" fillId="9" borderId="6" xfId="0" applyFont="1" applyFill="1" applyBorder="1" applyAlignment="1">
      <alignment horizontal="center" vertical="center"/>
    </xf>
    <xf numFmtId="0" fontId="15" fillId="9" borderId="6" xfId="0" applyFont="1" applyFill="1" applyBorder="1" applyAlignment="1">
      <alignment horizontal="left" vertical="center"/>
    </xf>
    <xf numFmtId="0" fontId="15" fillId="0" borderId="0" xfId="0" applyFont="1" applyAlignment="1">
      <alignment vertical="center"/>
    </xf>
    <xf numFmtId="0" fontId="28" fillId="0" borderId="6" xfId="0" applyFont="1" applyBorder="1" applyAlignment="1">
      <alignment horizontal="center" vertical="center" wrapText="1"/>
    </xf>
    <xf numFmtId="0" fontId="29" fillId="0" borderId="0" xfId="0" applyFont="1" applyFill="1" applyAlignment="1">
      <alignment wrapText="1"/>
    </xf>
    <xf numFmtId="0" fontId="12" fillId="0" borderId="0" xfId="0" applyFont="1" applyFill="1" applyAlignment="1">
      <alignment vertical="center"/>
    </xf>
    <xf numFmtId="0" fontId="19" fillId="0" borderId="6" xfId="0" applyFont="1" applyFill="1" applyBorder="1" applyAlignment="1">
      <alignment horizontal="center" vertical="center" wrapText="1"/>
    </xf>
    <xf numFmtId="0" fontId="6" fillId="0" borderId="6" xfId="64" applyFont="1" applyFill="1" applyBorder="1" applyAlignment="1">
      <alignment horizontal="left" vertical="center" wrapText="1"/>
    </xf>
    <xf numFmtId="0" fontId="6" fillId="0" borderId="6" xfId="64" applyFont="1" applyFill="1" applyBorder="1" applyAlignment="1">
      <alignment horizontal="center" vertical="center" wrapText="1"/>
    </xf>
    <xf numFmtId="0" fontId="6" fillId="0" borderId="6" xfId="64" applyFont="1" applyFill="1" applyBorder="1" applyAlignment="1">
      <alignment horizontal="center" wrapText="1"/>
    </xf>
    <xf numFmtId="0" fontId="17" fillId="0" borderId="6" xfId="64" applyFont="1" applyFill="1" applyBorder="1" applyAlignment="1">
      <alignment horizontal="center" vertical="center" wrapText="1"/>
    </xf>
    <xf numFmtId="0" fontId="2" fillId="0" borderId="6" xfId="64" applyFont="1" applyFill="1" applyBorder="1" applyAlignment="1">
      <alignment wrapText="1"/>
    </xf>
    <xf numFmtId="0" fontId="0" fillId="0" borderId="0" xfId="64" applyFill="1"/>
    <xf numFmtId="0" fontId="21" fillId="0" borderId="6" xfId="64" applyFont="1" applyFill="1" applyBorder="1" applyAlignment="1">
      <alignment horizontal="left" vertical="center" wrapText="1"/>
    </xf>
    <xf numFmtId="0" fontId="30" fillId="0" borderId="6" xfId="0" applyFont="1" applyFill="1" applyBorder="1" applyAlignment="1">
      <alignment horizontal="center" vertical="center"/>
    </xf>
    <xf numFmtId="0" fontId="29" fillId="0" borderId="6" xfId="0" applyFont="1" applyFill="1" applyBorder="1" applyAlignment="1">
      <alignment horizontal="left" vertical="center" wrapText="1"/>
    </xf>
    <xf numFmtId="0" fontId="31" fillId="0" borderId="0" xfId="0" applyFont="1" applyFill="1"/>
    <xf numFmtId="0" fontId="2" fillId="0" borderId="6" xfId="0" applyFont="1" applyFill="1" applyBorder="1" applyAlignment="1">
      <alignment horizontal="center" vertical="center" wrapText="1"/>
    </xf>
    <xf numFmtId="0" fontId="21" fillId="0" borderId="6" xfId="0" applyFont="1" applyFill="1" applyBorder="1" applyAlignment="1">
      <alignment horizontal="left" vertical="center" wrapText="1"/>
    </xf>
    <xf numFmtId="0" fontId="6" fillId="0" borderId="6" xfId="0" applyFont="1" applyFill="1" applyBorder="1" applyAlignment="1">
      <alignment horizontal="center" vertical="center"/>
    </xf>
    <xf numFmtId="0" fontId="32" fillId="0" borderId="6" xfId="0" applyFont="1" applyFill="1" applyBorder="1" applyAlignment="1">
      <alignment vertical="center" wrapText="1"/>
    </xf>
    <xf numFmtId="177" fontId="17" fillId="0" borderId="6" xfId="0" applyNumberFormat="1" applyFont="1" applyBorder="1" applyAlignment="1">
      <alignment horizontal="center" vertical="center" wrapText="1"/>
    </xf>
    <xf numFmtId="177" fontId="17" fillId="6" borderId="6" xfId="0" applyNumberFormat="1" applyFont="1" applyFill="1" applyBorder="1" applyAlignment="1">
      <alignment horizontal="center" vertical="center" wrapText="1"/>
    </xf>
    <xf numFmtId="0" fontId="17" fillId="6" borderId="6" xfId="0" applyFont="1" applyFill="1" applyBorder="1" applyAlignment="1">
      <alignment vertical="center" wrapText="1"/>
    </xf>
    <xf numFmtId="0" fontId="17" fillId="9" borderId="6" xfId="0" applyFont="1" applyFill="1" applyBorder="1" applyAlignment="1">
      <alignment horizontal="center" vertical="center" wrapText="1"/>
    </xf>
    <xf numFmtId="0" fontId="16" fillId="9" borderId="16" xfId="0" applyFont="1" applyFill="1" applyBorder="1" applyAlignment="1">
      <alignment horizontal="left" vertical="center" wrapText="1"/>
    </xf>
    <xf numFmtId="0" fontId="16" fillId="9" borderId="17" xfId="0" applyFont="1" applyFill="1" applyBorder="1" applyAlignment="1">
      <alignment horizontal="left" vertical="center" wrapText="1"/>
    </xf>
    <xf numFmtId="0" fontId="16" fillId="9" borderId="15" xfId="0" applyFont="1" applyFill="1" applyBorder="1" applyAlignment="1">
      <alignment horizontal="left" vertical="center" wrapText="1"/>
    </xf>
    <xf numFmtId="0" fontId="17" fillId="9" borderId="0" xfId="0" applyFont="1" applyFill="1" applyAlignment="1">
      <alignment wrapText="1"/>
    </xf>
    <xf numFmtId="10" fontId="16" fillId="0" borderId="6" xfId="0" applyNumberFormat="1" applyFont="1" applyBorder="1" applyAlignment="1">
      <alignment horizontal="left" vertical="center" wrapText="1"/>
    </xf>
    <xf numFmtId="10" fontId="17" fillId="0" borderId="6" xfId="0" applyNumberFormat="1" applyFont="1" applyBorder="1" applyAlignment="1">
      <alignment horizontal="center" vertical="center" wrapText="1"/>
    </xf>
    <xf numFmtId="178" fontId="17" fillId="0" borderId="6" xfId="0" applyNumberFormat="1" applyFont="1" applyBorder="1" applyAlignment="1">
      <alignment horizontal="center" vertical="center" wrapText="1"/>
    </xf>
    <xf numFmtId="0" fontId="15" fillId="0" borderId="15" xfId="0" applyFont="1" applyBorder="1" applyAlignment="1">
      <alignment wrapText="1"/>
    </xf>
    <xf numFmtId="0" fontId="15" fillId="0" borderId="6" xfId="0" applyFont="1" applyBorder="1" applyAlignment="1">
      <alignment wrapText="1"/>
    </xf>
    <xf numFmtId="0" fontId="16" fillId="9" borderId="6" xfId="0" applyFont="1" applyFill="1" applyBorder="1" applyAlignment="1">
      <alignment horizontal="left" vertical="center" wrapText="1"/>
    </xf>
    <xf numFmtId="178" fontId="16" fillId="9" borderId="6" xfId="0" applyNumberFormat="1" applyFont="1" applyFill="1" applyBorder="1" applyAlignment="1">
      <alignment horizontal="center" vertical="center" wrapText="1"/>
    </xf>
    <xf numFmtId="177" fontId="16" fillId="9" borderId="6" xfId="0" applyNumberFormat="1" applyFont="1" applyFill="1" applyBorder="1" applyAlignment="1">
      <alignment horizontal="center" vertical="center" wrapText="1"/>
    </xf>
    <xf numFmtId="178" fontId="17" fillId="9" borderId="6" xfId="0" applyNumberFormat="1" applyFont="1" applyFill="1" applyBorder="1" applyAlignment="1">
      <alignment vertical="center" wrapText="1"/>
    </xf>
    <xf numFmtId="0" fontId="17" fillId="9" borderId="15" xfId="0" applyFont="1" applyFill="1" applyBorder="1" applyAlignment="1">
      <alignment wrapText="1"/>
    </xf>
    <xf numFmtId="0" fontId="17" fillId="9" borderId="6" xfId="0" applyFont="1" applyFill="1" applyBorder="1" applyAlignment="1">
      <alignment wrapText="1"/>
    </xf>
    <xf numFmtId="0" fontId="17" fillId="0" borderId="16" xfId="0" applyFont="1" applyBorder="1" applyAlignment="1">
      <alignment horizontal="left" vertical="center" wrapText="1"/>
    </xf>
    <xf numFmtId="0" fontId="0" fillId="0" borderId="17" xfId="0" applyBorder="1" applyAlignment="1">
      <alignment vertical="center" wrapText="1"/>
    </xf>
    <xf numFmtId="0" fontId="0" fillId="0" borderId="6" xfId="0" applyBorder="1" applyAlignment="1">
      <alignment vertical="center" wrapText="1"/>
    </xf>
    <xf numFmtId="178" fontId="15" fillId="9" borderId="6" xfId="0" applyNumberFormat="1" applyFont="1" applyFill="1" applyBorder="1" applyAlignment="1">
      <alignment vertical="center" wrapText="1"/>
    </xf>
    <xf numFmtId="0" fontId="33" fillId="0" borderId="6" xfId="0" applyFont="1" applyBorder="1" applyAlignment="1">
      <alignment vertical="center" wrapText="1"/>
    </xf>
    <xf numFmtId="0" fontId="15" fillId="9" borderId="6" xfId="0" applyFont="1" applyFill="1" applyBorder="1" applyAlignment="1">
      <alignment vertical="center" wrapText="1"/>
    </xf>
    <xf numFmtId="0" fontId="12" fillId="9" borderId="0" xfId="0" applyFont="1" applyFill="1" applyAlignment="1">
      <alignment vertical="center"/>
    </xf>
    <xf numFmtId="0" fontId="33" fillId="0" borderId="6" xfId="0" applyFont="1" applyBorder="1" applyAlignment="1">
      <alignment horizontal="left" vertical="center" wrapText="1"/>
    </xf>
    <xf numFmtId="0" fontId="27" fillId="0" borderId="6" xfId="0" applyFont="1" applyBorder="1" applyAlignment="1">
      <alignment horizontal="left" vertical="center" wrapText="1"/>
    </xf>
    <xf numFmtId="0" fontId="19" fillId="0" borderId="6" xfId="0" applyFont="1" applyBorder="1" applyAlignment="1">
      <alignment horizontal="left" vertical="center" wrapText="1"/>
    </xf>
    <xf numFmtId="0" fontId="34" fillId="9" borderId="6" xfId="0" applyFont="1" applyFill="1" applyBorder="1" applyAlignment="1">
      <alignment horizontal="left" vertical="center" wrapText="1"/>
    </xf>
    <xf numFmtId="0" fontId="35" fillId="9" borderId="6" xfId="0" applyFont="1" applyFill="1" applyBorder="1" applyAlignment="1">
      <alignment horizontal="center" vertical="center" wrapText="1"/>
    </xf>
    <xf numFmtId="0" fontId="34" fillId="9" borderId="6" xfId="0" applyFont="1" applyFill="1" applyBorder="1" applyAlignment="1">
      <alignment horizontal="center" vertical="center" wrapText="1"/>
    </xf>
    <xf numFmtId="0" fontId="34" fillId="9" borderId="6" xfId="0" applyFont="1" applyFill="1" applyBorder="1" applyAlignment="1">
      <alignment vertical="center" wrapText="1"/>
    </xf>
    <xf numFmtId="0" fontId="6" fillId="9" borderId="6" xfId="0" applyFont="1" applyFill="1" applyBorder="1"/>
    <xf numFmtId="0" fontId="2" fillId="9" borderId="6" xfId="0" applyFont="1" applyFill="1" applyBorder="1" applyAlignment="1">
      <alignment horizontal="center" vertical="center"/>
    </xf>
    <xf numFmtId="0" fontId="2" fillId="9" borderId="6" xfId="0" applyFont="1" applyFill="1" applyBorder="1"/>
    <xf numFmtId="0" fontId="35" fillId="9" borderId="6" xfId="0" applyFont="1" applyFill="1" applyBorder="1" applyAlignment="1">
      <alignment horizontal="left" vertical="center" wrapText="1"/>
    </xf>
    <xf numFmtId="0" fontId="12" fillId="0" borderId="6" xfId="0" applyFont="1" applyBorder="1" applyAlignment="1">
      <alignment horizontal="center" vertical="center" wrapText="1"/>
    </xf>
    <xf numFmtId="0" fontId="17" fillId="0" borderId="6" xfId="0" applyFont="1" applyBorder="1" applyAlignment="1">
      <alignment vertical="center" wrapText="1"/>
    </xf>
    <xf numFmtId="0" fontId="17" fillId="0" borderId="0" xfId="0" applyFont="1" applyAlignment="1">
      <alignment horizontal="center" vertical="center" wrapText="1"/>
    </xf>
    <xf numFmtId="0" fontId="17" fillId="0" borderId="0" xfId="0" applyFont="1" applyAlignment="1">
      <alignment vertical="center" wrapText="1"/>
    </xf>
    <xf numFmtId="0" fontId="15" fillId="0" borderId="7" xfId="0" applyFont="1" applyBorder="1" applyAlignment="1">
      <alignment wrapText="1"/>
    </xf>
    <xf numFmtId="0" fontId="6" fillId="0" borderId="6" xfId="0" applyFont="1" applyBorder="1" applyAlignment="1">
      <alignment vertical="center"/>
    </xf>
    <xf numFmtId="0" fontId="35" fillId="0" borderId="6" xfId="0" applyFont="1" applyBorder="1" applyAlignment="1">
      <alignment horizontal="center" vertical="center" wrapText="1"/>
    </xf>
    <xf numFmtId="0" fontId="35" fillId="0" borderId="6" xfId="0" applyFont="1" applyBorder="1" applyAlignment="1">
      <alignment horizontal="center" vertical="center"/>
    </xf>
    <xf numFmtId="0" fontId="36" fillId="0" borderId="6" xfId="0" applyFont="1" applyBorder="1" applyAlignment="1">
      <alignment vertical="center" wrapText="1"/>
    </xf>
    <xf numFmtId="0" fontId="6" fillId="0" borderId="6" xfId="0" applyFont="1" applyBorder="1" applyAlignment="1">
      <alignment horizontal="center" vertical="center"/>
    </xf>
    <xf numFmtId="0" fontId="32" fillId="0" borderId="6" xfId="0" applyFont="1" applyBorder="1" applyAlignment="1">
      <alignment vertical="center" wrapText="1"/>
    </xf>
    <xf numFmtId="0" fontId="6" fillId="0" borderId="6" xfId="0" applyFont="1" applyBorder="1" applyAlignment="1">
      <alignment horizontal="center" wrapText="1"/>
    </xf>
    <xf numFmtId="0" fontId="16" fillId="6" borderId="6" xfId="0" applyFont="1" applyFill="1" applyBorder="1" applyAlignment="1">
      <alignment horizontal="center" vertical="center" wrapText="1"/>
    </xf>
  </cellXfs>
  <cellStyles count="6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普通_电汇总" xfId="49"/>
    <cellStyle name="_ET_STYLE_NoName_00_" xfId="50"/>
    <cellStyle name="??|?Revenuenuesy L" xfId="51"/>
    <cellStyle name="千位_设备明细表" xfId="52"/>
    <cellStyle name="千位[0]_设备明细表" xfId="53"/>
    <cellStyle name="千分位[0]_广州平安证券" xfId="54"/>
    <cellStyle name="??|?Revenuenuesy L 2" xfId="55"/>
    <cellStyle name="??|?Revenuenuesy L 3" xfId="56"/>
    <cellStyle name="常规 2" xfId="57"/>
    <cellStyle name="??|?Revenuenuesy L 4" xfId="58"/>
    <cellStyle name="常规 3" xfId="59"/>
    <cellStyle name="Column_Title" xfId="60"/>
    <cellStyle name="Header1" xfId="61"/>
    <cellStyle name="Header2" xfId="62"/>
    <cellStyle name="Normal_Book1" xfId="63"/>
    <cellStyle name="常规 4" xfId="64"/>
    <cellStyle name="千分位_广州平安证券" xfId="65"/>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57150</xdr:colOff>
      <xdr:row>0</xdr:row>
      <xdr:rowOff>95250</xdr:rowOff>
    </xdr:from>
    <xdr:to>
      <xdr:col>3</xdr:col>
      <xdr:colOff>304800</xdr:colOff>
      <xdr:row>0</xdr:row>
      <xdr:rowOff>504825</xdr:rowOff>
    </xdr:to>
    <xdr:pic>
      <xdr:nvPicPr>
        <xdr:cNvPr id="8198" name="Picture 1026" descr="201207061458410"/>
        <xdr:cNvPicPr>
          <a:picLocks noChangeAspect="1" noChangeArrowheads="1"/>
        </xdr:cNvPicPr>
      </xdr:nvPicPr>
      <xdr:blipFill>
        <a:blip r:embed="rId1" cstate="print">
          <a:lum bright="2000" contrast="2000"/>
        </a:blip>
        <a:srcRect/>
        <a:stretch>
          <a:fillRect/>
        </a:stretch>
      </xdr:blipFill>
      <xdr:spPr>
        <a:xfrm>
          <a:off x="57150" y="95250"/>
          <a:ext cx="2222500" cy="40957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Startup" Target="ESTIMA~1\LINK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21016;&#29577;\&#20849;&#20139;\&#23433;&#26143;&#24037;&#31243;\&#31995;&#32479;&#20869;\WINDOWS\TEMP\MP-97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35774;&#35745;&#37096;c3\d\My%20Documents\&#23433;&#26143;\&#23433;&#26143;1\&#24179;&#20445;&#21776;&#23665;&#25903;&#20844;&#21496;&#65288;&#23551;&#38505;&#65289;&#21150;&#20844;&#32844;&#22330;&#35013;&#39280;&#24037;&#31243;.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9"/>
    </sheetNames>
    <sheetDataSet>
      <sheetData sheetId="0"/>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Mp-team 1"/>
    </sheetNames>
    <sheetDataSet>
      <sheetData sheetId="0"/>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F"/>
      <sheetName val="S"/>
      <sheetName val="D"/>
      <sheetName val="ZS"/>
      <sheetName val="H"/>
      <sheetName val="ZS (2)"/>
      <sheetName val="ZS (3)"/>
      <sheetName val="H (2)"/>
      <sheetName val="D (2)"/>
      <sheetName val="XL4Poppy"/>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M223"/>
  <sheetViews>
    <sheetView tabSelected="1" zoomScale="130" zoomScaleNormal="130" topLeftCell="A49" workbookViewId="0">
      <selection activeCell="C53" sqref="C53"/>
    </sheetView>
  </sheetViews>
  <sheetFormatPr defaultColWidth="9" defaultRowHeight="21" customHeight="1"/>
  <cols>
    <col min="1" max="1" width="4.08333333333333" style="39" customWidth="1"/>
    <col min="2" max="2" width="16.25" style="40" customWidth="1"/>
    <col min="3" max="3" width="5.58333333333333" style="41" customWidth="1"/>
    <col min="4" max="4" width="4.08333333333333" style="41" customWidth="1"/>
    <col min="5" max="5" width="6.25" style="41" customWidth="1"/>
    <col min="6" max="6" width="7.75" style="42" customWidth="1"/>
    <col min="7" max="7" width="6.25" style="41" customWidth="1"/>
    <col min="8" max="8" width="9.08333333333333" style="42" customWidth="1"/>
    <col min="9" max="9" width="74.5" style="22" customWidth="1"/>
    <col min="10" max="16384" width="9" style="22"/>
  </cols>
  <sheetData>
    <row r="1" s="7" customFormat="1" ht="44.25" customHeight="1" spans="1:169">
      <c r="A1" s="43" t="s">
        <v>0</v>
      </c>
      <c r="B1" s="43"/>
      <c r="C1" s="43"/>
      <c r="D1" s="43"/>
      <c r="E1" s="43"/>
      <c r="F1" s="43"/>
      <c r="G1" s="43"/>
      <c r="H1" s="43"/>
      <c r="I1" s="43"/>
      <c r="J1" s="44"/>
      <c r="K1" s="44"/>
      <c r="L1" s="44"/>
      <c r="M1" s="45"/>
      <c r="N1" s="45"/>
      <c r="O1" s="45"/>
      <c r="P1" s="45"/>
      <c r="Q1" s="45"/>
      <c r="R1" s="45"/>
      <c r="S1" s="45"/>
      <c r="T1" s="45"/>
      <c r="U1" s="45"/>
      <c r="V1" s="45"/>
      <c r="W1" s="45"/>
      <c r="X1" s="45"/>
      <c r="Y1" s="45"/>
      <c r="Z1" s="45"/>
      <c r="AA1" s="45"/>
      <c r="AB1" s="45"/>
      <c r="AC1" s="45"/>
      <c r="AD1" s="45"/>
      <c r="AE1" s="45"/>
      <c r="AF1" s="45"/>
      <c r="AG1" s="45"/>
      <c r="AH1" s="45"/>
      <c r="AI1" s="45"/>
      <c r="AJ1" s="45"/>
      <c r="AK1" s="45"/>
      <c r="AL1" s="45"/>
      <c r="AM1" s="45"/>
      <c r="AN1" s="45"/>
      <c r="AO1" s="45"/>
      <c r="AP1" s="45"/>
      <c r="AQ1" s="45"/>
      <c r="AR1" s="45"/>
      <c r="AS1" s="45"/>
      <c r="AT1" s="45"/>
      <c r="AU1" s="45"/>
      <c r="AV1" s="45"/>
      <c r="AW1" s="45"/>
      <c r="AX1" s="45"/>
      <c r="AY1" s="45"/>
      <c r="AZ1" s="45"/>
      <c r="BA1" s="45"/>
      <c r="BB1" s="45"/>
      <c r="BC1" s="45"/>
      <c r="BD1" s="45"/>
      <c r="BE1" s="45"/>
      <c r="BF1" s="45"/>
      <c r="BG1" s="45"/>
      <c r="BH1" s="45"/>
      <c r="BI1" s="45"/>
      <c r="BJ1" s="45"/>
      <c r="BK1" s="45"/>
      <c r="BL1" s="45"/>
      <c r="BM1" s="45"/>
      <c r="BN1" s="45"/>
      <c r="BO1" s="45"/>
      <c r="BP1" s="45"/>
      <c r="BQ1" s="45"/>
      <c r="BR1" s="45"/>
      <c r="BS1" s="45"/>
      <c r="BT1" s="45"/>
      <c r="BU1" s="45"/>
      <c r="BV1" s="45"/>
      <c r="BW1" s="45"/>
      <c r="BX1" s="45"/>
      <c r="BY1" s="45"/>
      <c r="BZ1" s="45"/>
      <c r="CA1" s="45"/>
      <c r="CB1" s="45"/>
      <c r="CC1" s="45"/>
      <c r="CD1" s="45"/>
      <c r="CE1" s="45"/>
      <c r="CF1" s="45"/>
      <c r="CG1" s="45"/>
      <c r="CH1" s="45"/>
      <c r="CI1" s="45"/>
      <c r="CJ1" s="45"/>
      <c r="CK1" s="45"/>
      <c r="CL1" s="45"/>
      <c r="CM1" s="45"/>
      <c r="CN1" s="45"/>
      <c r="CO1" s="45"/>
      <c r="CP1" s="45"/>
      <c r="CQ1" s="45"/>
      <c r="CR1" s="45"/>
      <c r="CS1" s="45"/>
      <c r="CT1" s="45"/>
      <c r="CU1" s="45"/>
      <c r="CV1" s="45"/>
      <c r="CW1" s="45"/>
      <c r="CX1" s="45"/>
      <c r="CY1" s="45"/>
      <c r="CZ1" s="45"/>
      <c r="DA1" s="45"/>
      <c r="DB1" s="45"/>
      <c r="DC1" s="45"/>
      <c r="DD1" s="45"/>
      <c r="DE1" s="45"/>
      <c r="DF1" s="45"/>
      <c r="DG1" s="45"/>
      <c r="DH1" s="45"/>
      <c r="DI1" s="45"/>
      <c r="DJ1" s="45"/>
      <c r="DK1" s="45"/>
      <c r="DL1" s="45"/>
      <c r="DM1" s="45"/>
      <c r="DN1" s="45"/>
      <c r="DO1" s="45"/>
      <c r="DP1" s="45"/>
      <c r="DQ1" s="45"/>
      <c r="DR1" s="45"/>
      <c r="DS1" s="45"/>
      <c r="DT1" s="45"/>
      <c r="DU1" s="45"/>
      <c r="DV1" s="45"/>
      <c r="DW1" s="45"/>
      <c r="DX1" s="45"/>
      <c r="DY1" s="45"/>
      <c r="DZ1" s="45"/>
      <c r="EA1" s="45"/>
      <c r="EB1" s="45"/>
      <c r="EC1" s="45"/>
      <c r="ED1" s="45"/>
      <c r="EE1" s="45"/>
      <c r="EF1" s="45"/>
      <c r="EG1" s="45"/>
      <c r="EH1" s="45"/>
      <c r="EI1" s="45"/>
      <c r="EJ1" s="45"/>
      <c r="EK1" s="45"/>
      <c r="EL1" s="45"/>
      <c r="EM1" s="45"/>
      <c r="EN1" s="45"/>
      <c r="EO1" s="45"/>
      <c r="EP1" s="45"/>
      <c r="EQ1" s="45"/>
      <c r="ER1" s="45"/>
      <c r="ES1" s="45"/>
      <c r="ET1" s="45"/>
      <c r="EU1" s="45"/>
      <c r="EV1" s="45"/>
      <c r="EW1" s="45"/>
      <c r="EX1" s="45"/>
      <c r="EY1" s="45"/>
      <c r="EZ1" s="45"/>
      <c r="FA1" s="45"/>
      <c r="FB1" s="45"/>
      <c r="FC1" s="45"/>
      <c r="FD1" s="45"/>
      <c r="FE1" s="45"/>
      <c r="FF1" s="45"/>
      <c r="FG1" s="45"/>
      <c r="FH1" s="45"/>
      <c r="FI1" s="45"/>
      <c r="FJ1" s="45"/>
      <c r="FK1" s="45"/>
      <c r="FL1" s="45"/>
      <c r="FM1" s="45"/>
    </row>
    <row r="2" s="8" customFormat="1" ht="17.15" customHeight="1" spans="1:169">
      <c r="A2" s="46" t="s">
        <v>1</v>
      </c>
      <c r="B2" s="47"/>
      <c r="C2" s="47"/>
      <c r="D2" s="47"/>
      <c r="E2" s="47"/>
      <c r="F2" s="47"/>
      <c r="G2" s="47"/>
      <c r="H2" s="47"/>
      <c r="I2" s="48">
        <v>46199</v>
      </c>
      <c r="J2" s="49"/>
      <c r="K2" s="49"/>
      <c r="L2" s="49"/>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row>
    <row r="3" s="9" customFormat="1" ht="17.15" customHeight="1" spans="1:169">
      <c r="A3" s="47" t="s">
        <v>2</v>
      </c>
      <c r="B3" s="47"/>
      <c r="C3" s="47"/>
      <c r="D3" s="47"/>
      <c r="E3" s="47"/>
      <c r="F3" s="47"/>
      <c r="G3" s="47"/>
      <c r="H3" s="47"/>
      <c r="I3" s="47"/>
      <c r="J3" s="47"/>
      <c r="K3" s="47"/>
      <c r="L3" s="49"/>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row>
    <row r="4" ht="9.75" customHeight="1" spans="1:169">
      <c r="A4" s="50" t="s">
        <v>3</v>
      </c>
      <c r="B4" s="50" t="s">
        <v>4</v>
      </c>
      <c r="C4" s="50" t="s">
        <v>5</v>
      </c>
      <c r="D4" s="50" t="s">
        <v>6</v>
      </c>
      <c r="E4" s="51" t="s">
        <v>7</v>
      </c>
      <c r="F4" s="52"/>
      <c r="G4" s="51" t="s">
        <v>8</v>
      </c>
      <c r="H4" s="52"/>
      <c r="I4" s="50" t="s">
        <v>9</v>
      </c>
      <c r="J4" s="53"/>
      <c r="K4" s="53"/>
      <c r="L4" s="53"/>
    </row>
    <row r="5" ht="9.75" customHeight="1" spans="1:169">
      <c r="A5" s="54"/>
      <c r="B5" s="54"/>
      <c r="C5" s="54"/>
      <c r="D5" s="54"/>
      <c r="E5" s="55"/>
      <c r="F5" s="56"/>
      <c r="G5" s="55"/>
      <c r="H5" s="56"/>
      <c r="I5" s="54"/>
      <c r="J5" s="53"/>
      <c r="K5" s="53"/>
      <c r="L5" s="53"/>
    </row>
    <row r="6" ht="8.25" customHeight="1" spans="1:169">
      <c r="A6" s="54"/>
      <c r="B6" s="54"/>
      <c r="C6" s="54"/>
      <c r="D6" s="54"/>
      <c r="E6" s="50" t="s">
        <v>10</v>
      </c>
      <c r="F6" s="50" t="s">
        <v>11</v>
      </c>
      <c r="G6" s="50" t="s">
        <v>10</v>
      </c>
      <c r="H6" s="50" t="s">
        <v>11</v>
      </c>
      <c r="I6" s="54"/>
      <c r="J6" s="53"/>
      <c r="K6" s="53"/>
      <c r="L6" s="53"/>
    </row>
    <row r="7" ht="8.25" customHeight="1" spans="1:169">
      <c r="A7" s="57"/>
      <c r="B7" s="57"/>
      <c r="C7" s="57"/>
      <c r="D7" s="57"/>
      <c r="E7" s="57"/>
      <c r="F7" s="57"/>
      <c r="G7" s="57"/>
      <c r="H7" s="57"/>
      <c r="I7" s="57"/>
      <c r="J7" s="53"/>
      <c r="K7" s="53"/>
      <c r="L7" s="53"/>
    </row>
    <row r="8" ht="16.5" customHeight="1" spans="1:169">
      <c r="A8" s="58" t="s">
        <v>12</v>
      </c>
      <c r="B8" s="59" t="s">
        <v>13</v>
      </c>
      <c r="C8" s="59"/>
      <c r="D8" s="59"/>
      <c r="E8" s="59"/>
      <c r="F8" s="60"/>
      <c r="G8" s="60"/>
      <c r="H8" s="60"/>
      <c r="I8" s="61"/>
      <c r="J8" s="53"/>
      <c r="K8" s="53"/>
      <c r="L8" s="53"/>
    </row>
    <row r="9" ht="15" customHeight="1" spans="1:169">
      <c r="A9" s="62">
        <v>1</v>
      </c>
      <c r="B9" s="63" t="s">
        <v>14</v>
      </c>
      <c r="C9" s="60">
        <f>1.68+5.22</f>
        <v>6.9</v>
      </c>
      <c r="D9" s="60" t="s">
        <v>15</v>
      </c>
      <c r="E9" s="60">
        <v>70</v>
      </c>
      <c r="F9" s="60">
        <f t="shared" ref="F9:F13" si="0">C9*E9</f>
        <v>483</v>
      </c>
      <c r="G9" s="64">
        <v>25</v>
      </c>
      <c r="H9" s="60">
        <f t="shared" ref="H9:H11" si="1">SUM(G9*C9)</f>
        <v>172.5</v>
      </c>
      <c r="I9" s="65" t="s">
        <v>16</v>
      </c>
      <c r="J9" s="53"/>
      <c r="K9" s="53"/>
      <c r="L9" s="53"/>
    </row>
    <row r="10" s="10" customFormat="1" ht="17" customHeight="1" spans="1:169">
      <c r="A10" s="66">
        <v>2</v>
      </c>
      <c r="B10" s="67" t="s">
        <v>17</v>
      </c>
      <c r="C10" s="66">
        <v>0</v>
      </c>
      <c r="D10" s="68" t="s">
        <v>18</v>
      </c>
      <c r="E10" s="66">
        <v>95</v>
      </c>
      <c r="F10" s="68">
        <f t="shared" si="0"/>
        <v>0</v>
      </c>
      <c r="G10" s="66">
        <v>55</v>
      </c>
      <c r="H10" s="68">
        <f t="shared" si="1"/>
        <v>0</v>
      </c>
      <c r="I10" s="69" t="s">
        <v>19</v>
      </c>
    </row>
    <row r="11" s="11" customFormat="1" ht="26.25" customHeight="1" spans="1:169">
      <c r="A11" s="66">
        <v>3</v>
      </c>
      <c r="B11" s="70" t="s">
        <v>20</v>
      </c>
      <c r="C11" s="71">
        <v>53</v>
      </c>
      <c r="D11" s="72" t="s">
        <v>21</v>
      </c>
      <c r="E11" s="72">
        <v>125</v>
      </c>
      <c r="F11" s="72">
        <f t="shared" si="0"/>
        <v>6625</v>
      </c>
      <c r="G11" s="72">
        <v>65</v>
      </c>
      <c r="H11" s="72">
        <f t="shared" si="1"/>
        <v>3445</v>
      </c>
      <c r="I11" s="73" t="s">
        <v>22</v>
      </c>
      <c r="J11" s="74"/>
      <c r="K11" s="75"/>
      <c r="L11" s="75" t="s">
        <v>23</v>
      </c>
    </row>
    <row r="12" s="10" customFormat="1" ht="16.5" customHeight="1" spans="1:169">
      <c r="A12" s="66">
        <v>4</v>
      </c>
      <c r="B12" s="76" t="s">
        <v>24</v>
      </c>
      <c r="C12" s="68">
        <f>11.7+11.5</f>
        <v>23.2</v>
      </c>
      <c r="D12" s="68" t="s">
        <v>25</v>
      </c>
      <c r="E12" s="68">
        <v>38</v>
      </c>
      <c r="F12" s="68">
        <f t="shared" si="0"/>
        <v>881.6</v>
      </c>
      <c r="G12" s="68">
        <v>22</v>
      </c>
      <c r="H12" s="68">
        <f t="shared" ref="H12:H17" si="2">C12*G12</f>
        <v>510.4</v>
      </c>
      <c r="I12" s="69" t="s">
        <v>26</v>
      </c>
      <c r="J12" s="77"/>
      <c r="K12" s="77"/>
      <c r="L12" s="77"/>
    </row>
    <row r="13" s="10" customFormat="1" ht="16.5" customHeight="1" spans="1:169">
      <c r="A13" s="66">
        <v>5</v>
      </c>
      <c r="B13" s="76" t="s">
        <v>27</v>
      </c>
      <c r="C13" s="68">
        <f>5.2</f>
        <v>5.2</v>
      </c>
      <c r="D13" s="68" t="s">
        <v>25</v>
      </c>
      <c r="E13" s="68">
        <v>32</v>
      </c>
      <c r="F13" s="68">
        <f t="shared" si="0"/>
        <v>166.4</v>
      </c>
      <c r="G13" s="68">
        <v>22</v>
      </c>
      <c r="H13" s="68">
        <f t="shared" si="2"/>
        <v>114.4</v>
      </c>
      <c r="I13" s="69" t="s">
        <v>26</v>
      </c>
      <c r="J13" s="77"/>
      <c r="K13" s="77"/>
      <c r="L13" s="77"/>
    </row>
    <row r="14" s="12" customFormat="1" ht="17.25" customHeight="1" spans="1:169">
      <c r="A14" s="66">
        <v>6</v>
      </c>
      <c r="B14" s="78" t="s">
        <v>28</v>
      </c>
      <c r="C14" s="68"/>
      <c r="D14" s="66" t="s">
        <v>15</v>
      </c>
      <c r="E14" s="66">
        <v>14</v>
      </c>
      <c r="F14" s="68">
        <f t="shared" ref="F14:F25" si="3">C14*E14</f>
        <v>0</v>
      </c>
      <c r="G14" s="66">
        <v>8</v>
      </c>
      <c r="H14" s="68">
        <f t="shared" si="2"/>
        <v>0</v>
      </c>
      <c r="I14" s="79" t="s">
        <v>29</v>
      </c>
      <c r="J14" s="80"/>
    </row>
    <row r="15" s="12" customFormat="1" ht="17.25" customHeight="1" spans="1:169">
      <c r="A15" s="66">
        <v>7</v>
      </c>
      <c r="B15" s="81" t="s">
        <v>30</v>
      </c>
      <c r="C15" s="68"/>
      <c r="D15" s="66" t="s">
        <v>15</v>
      </c>
      <c r="E15" s="66">
        <v>16</v>
      </c>
      <c r="F15" s="68">
        <f t="shared" si="3"/>
        <v>0</v>
      </c>
      <c r="G15" s="66">
        <v>10</v>
      </c>
      <c r="H15" s="68">
        <f t="shared" si="2"/>
        <v>0</v>
      </c>
      <c r="I15" s="79" t="s">
        <v>29</v>
      </c>
      <c r="J15" s="80"/>
    </row>
    <row r="16" s="10" customFormat="1" ht="17.25" customHeight="1" spans="1:169">
      <c r="A16" s="66">
        <v>8</v>
      </c>
      <c r="B16" s="79" t="s">
        <v>31</v>
      </c>
      <c r="C16" s="68"/>
      <c r="D16" s="66" t="s">
        <v>15</v>
      </c>
      <c r="E16" s="66">
        <v>4</v>
      </c>
      <c r="F16" s="68">
        <f t="shared" si="3"/>
        <v>0</v>
      </c>
      <c r="G16" s="66">
        <v>6.5</v>
      </c>
      <c r="H16" s="68">
        <f t="shared" si="2"/>
        <v>0</v>
      </c>
      <c r="I16" s="79" t="s">
        <v>32</v>
      </c>
    </row>
    <row r="17" s="13" customFormat="1" ht="25" customHeight="1" spans="1:12">
      <c r="A17" s="66">
        <v>9</v>
      </c>
      <c r="B17" s="82" t="s">
        <v>33</v>
      </c>
      <c r="C17" s="72">
        <v>42</v>
      </c>
      <c r="D17" s="72" t="s">
        <v>21</v>
      </c>
      <c r="E17" s="72">
        <v>28</v>
      </c>
      <c r="F17" s="72">
        <f t="shared" si="3"/>
        <v>1176</v>
      </c>
      <c r="G17" s="72">
        <v>71</v>
      </c>
      <c r="H17" s="72">
        <f t="shared" si="2"/>
        <v>2982</v>
      </c>
      <c r="I17" s="73" t="s">
        <v>34</v>
      </c>
      <c r="J17" s="83"/>
      <c r="K17" s="83"/>
      <c r="L17" s="83"/>
    </row>
    <row r="18" s="10" customFormat="1" ht="16.5" customHeight="1" spans="1:12">
      <c r="A18" s="66">
        <v>10</v>
      </c>
      <c r="B18" s="76" t="s">
        <v>35</v>
      </c>
      <c r="C18" s="68"/>
      <c r="D18" s="68" t="s">
        <v>23</v>
      </c>
      <c r="E18" s="68">
        <v>0</v>
      </c>
      <c r="F18" s="68">
        <f t="shared" si="3"/>
        <v>0</v>
      </c>
      <c r="G18" s="68">
        <v>2.5</v>
      </c>
      <c r="H18" s="68">
        <f>SUM(G18*C18)</f>
        <v>0</v>
      </c>
      <c r="I18" s="69" t="s">
        <v>36</v>
      </c>
      <c r="J18" s="77"/>
      <c r="K18" s="77"/>
      <c r="L18" s="77"/>
    </row>
    <row r="19" s="10" customFormat="1" ht="16.5" customHeight="1" spans="1:12">
      <c r="A19" s="66">
        <v>11</v>
      </c>
      <c r="B19" s="84" t="s">
        <v>37</v>
      </c>
      <c r="C19" s="66">
        <v>0</v>
      </c>
      <c r="D19" s="66" t="s">
        <v>38</v>
      </c>
      <c r="E19" s="66">
        <v>135</v>
      </c>
      <c r="F19" s="68">
        <f t="shared" si="3"/>
        <v>0</v>
      </c>
      <c r="G19" s="66">
        <v>95</v>
      </c>
      <c r="H19" s="68">
        <f>SUM(G19*C19)</f>
        <v>0</v>
      </c>
      <c r="I19" s="79" t="s">
        <v>39</v>
      </c>
    </row>
    <row r="20" s="10" customFormat="1" ht="16.5" customHeight="1" spans="1:12">
      <c r="A20" s="66">
        <v>12</v>
      </c>
      <c r="B20" s="76" t="s">
        <v>40</v>
      </c>
      <c r="C20" s="68">
        <v>132</v>
      </c>
      <c r="D20" s="66" t="s">
        <v>38</v>
      </c>
      <c r="E20" s="68">
        <v>2</v>
      </c>
      <c r="F20" s="68">
        <f t="shared" si="3"/>
        <v>264</v>
      </c>
      <c r="G20" s="68">
        <v>4</v>
      </c>
      <c r="H20" s="68">
        <f t="shared" ref="H20:H25" si="4">SUM(G20*C20)</f>
        <v>528</v>
      </c>
      <c r="I20" s="69" t="s">
        <v>41</v>
      </c>
      <c r="J20" s="77"/>
      <c r="K20" s="77"/>
      <c r="L20" s="77"/>
    </row>
    <row r="21" s="10" customFormat="1" ht="27" customHeight="1" spans="1:12">
      <c r="A21" s="66">
        <v>13</v>
      </c>
      <c r="B21" s="76" t="s">
        <v>42</v>
      </c>
      <c r="C21" s="68">
        <v>132</v>
      </c>
      <c r="D21" s="68" t="s">
        <v>18</v>
      </c>
      <c r="E21" s="68">
        <v>19</v>
      </c>
      <c r="F21" s="68">
        <f t="shared" si="3"/>
        <v>2508</v>
      </c>
      <c r="G21" s="68">
        <v>13</v>
      </c>
      <c r="H21" s="68">
        <f t="shared" si="4"/>
        <v>1716</v>
      </c>
      <c r="I21" s="69" t="s">
        <v>43</v>
      </c>
      <c r="J21" s="77"/>
      <c r="K21" s="77"/>
      <c r="L21" s="77"/>
    </row>
    <row r="22" s="10" customFormat="1" ht="27" customHeight="1" spans="1:12">
      <c r="A22" s="66">
        <v>14</v>
      </c>
      <c r="B22" s="76" t="s">
        <v>44</v>
      </c>
      <c r="C22" s="68">
        <v>0</v>
      </c>
      <c r="D22" s="68" t="s">
        <v>18</v>
      </c>
      <c r="E22" s="68">
        <v>12</v>
      </c>
      <c r="F22" s="68">
        <f t="shared" si="3"/>
        <v>0</v>
      </c>
      <c r="G22" s="68">
        <v>7</v>
      </c>
      <c r="H22" s="68">
        <f t="shared" si="4"/>
        <v>0</v>
      </c>
      <c r="I22" s="69" t="s">
        <v>45</v>
      </c>
      <c r="J22" s="77"/>
      <c r="K22" s="77"/>
      <c r="L22" s="77"/>
    </row>
    <row r="23" s="10" customFormat="1" ht="17.15" customHeight="1" spans="1:12">
      <c r="A23" s="66">
        <v>15</v>
      </c>
      <c r="B23" s="76" t="s">
        <v>46</v>
      </c>
      <c r="C23" s="68">
        <v>1</v>
      </c>
      <c r="D23" s="68" t="s">
        <v>47</v>
      </c>
      <c r="E23" s="68">
        <v>260</v>
      </c>
      <c r="F23" s="68">
        <f t="shared" si="3"/>
        <v>260</v>
      </c>
      <c r="G23" s="68">
        <v>580</v>
      </c>
      <c r="H23" s="68">
        <f t="shared" si="4"/>
        <v>580</v>
      </c>
      <c r="I23" s="69" t="s">
        <v>48</v>
      </c>
      <c r="J23" s="77"/>
      <c r="K23" s="77"/>
      <c r="L23" s="77"/>
    </row>
    <row r="24" s="10" customFormat="1" ht="15" customHeight="1" spans="1:12">
      <c r="A24" s="66">
        <v>16</v>
      </c>
      <c r="B24" s="76" t="s">
        <v>49</v>
      </c>
      <c r="C24" s="68">
        <v>8.7</v>
      </c>
      <c r="D24" s="68" t="s">
        <v>18</v>
      </c>
      <c r="E24" s="68">
        <v>25</v>
      </c>
      <c r="F24" s="68">
        <f t="shared" si="3"/>
        <v>217.5</v>
      </c>
      <c r="G24" s="68">
        <v>10</v>
      </c>
      <c r="H24" s="68">
        <f t="shared" si="4"/>
        <v>87</v>
      </c>
      <c r="I24" s="69" t="s">
        <v>50</v>
      </c>
      <c r="J24" s="77"/>
      <c r="K24" s="77"/>
      <c r="L24" s="77"/>
    </row>
    <row r="25" ht="15" customHeight="1" spans="1:12">
      <c r="A25" s="62">
        <v>17</v>
      </c>
      <c r="B25" s="63" t="s">
        <v>51</v>
      </c>
      <c r="C25" s="60">
        <v>42</v>
      </c>
      <c r="D25" s="60" t="s">
        <v>18</v>
      </c>
      <c r="E25" s="60">
        <v>12</v>
      </c>
      <c r="F25" s="60">
        <f t="shared" si="3"/>
        <v>504</v>
      </c>
      <c r="G25" s="60">
        <v>5</v>
      </c>
      <c r="H25" s="60">
        <f t="shared" si="4"/>
        <v>210</v>
      </c>
      <c r="I25" s="61" t="s">
        <v>52</v>
      </c>
      <c r="J25" s="53"/>
      <c r="K25" s="53"/>
      <c r="L25" s="53"/>
    </row>
    <row r="26" s="14" customFormat="1" ht="18" customHeight="1" spans="1:12">
      <c r="A26" s="85"/>
      <c r="B26" s="86" t="s">
        <v>53</v>
      </c>
      <c r="C26" s="85"/>
      <c r="D26" s="85"/>
      <c r="E26" s="85"/>
      <c r="F26" s="85">
        <f>SUM(F9:F25)</f>
        <v>13085.5</v>
      </c>
      <c r="G26" s="85"/>
      <c r="H26" s="85">
        <f>SUM(H9:H25)</f>
        <v>10345.3</v>
      </c>
      <c r="I26" s="87"/>
      <c r="J26" s="88"/>
      <c r="K26" s="88"/>
      <c r="L26" s="88"/>
    </row>
    <row r="27" ht="18" customHeight="1" spans="1:12">
      <c r="A27" s="58" t="s">
        <v>54</v>
      </c>
      <c r="B27" s="89" t="s">
        <v>55</v>
      </c>
      <c r="C27" s="60"/>
      <c r="D27" s="60"/>
      <c r="E27" s="60"/>
      <c r="F27" s="60"/>
      <c r="G27" s="60"/>
      <c r="H27" s="60"/>
      <c r="I27" s="61"/>
      <c r="J27" s="53"/>
      <c r="K27" s="53"/>
      <c r="L27" s="53"/>
    </row>
    <row r="28" s="15" customFormat="1" ht="32" customHeight="1" spans="1:12">
      <c r="A28" s="90">
        <v>1</v>
      </c>
      <c r="B28" s="91" t="s">
        <v>56</v>
      </c>
      <c r="C28" s="90">
        <v>5.3</v>
      </c>
      <c r="D28" s="90" t="s">
        <v>21</v>
      </c>
      <c r="E28" s="90">
        <v>28</v>
      </c>
      <c r="F28" s="90">
        <f t="shared" ref="F28:F33" si="5">C28*E28</f>
        <v>148.4</v>
      </c>
      <c r="G28" s="90">
        <v>71</v>
      </c>
      <c r="H28" s="90">
        <f t="shared" ref="H28:H33" si="6">SUM(G28*C28)</f>
        <v>376.3</v>
      </c>
      <c r="I28" s="92" t="s">
        <v>34</v>
      </c>
      <c r="J28" s="93"/>
      <c r="K28" s="93"/>
      <c r="L28" s="93"/>
    </row>
    <row r="29" s="15" customFormat="1" ht="15" customHeight="1" spans="1:12">
      <c r="A29" s="90">
        <v>2</v>
      </c>
      <c r="B29" s="91" t="s">
        <v>57</v>
      </c>
      <c r="C29" s="90">
        <v>20</v>
      </c>
      <c r="D29" s="90" t="s">
        <v>21</v>
      </c>
      <c r="E29" s="90">
        <v>28</v>
      </c>
      <c r="F29" s="90">
        <f t="shared" si="5"/>
        <v>560</v>
      </c>
      <c r="G29" s="90">
        <v>40</v>
      </c>
      <c r="H29" s="90">
        <f t="shared" si="6"/>
        <v>800</v>
      </c>
      <c r="I29" s="92" t="s">
        <v>58</v>
      </c>
      <c r="J29" s="93"/>
      <c r="K29" s="93"/>
      <c r="L29" s="93"/>
    </row>
    <row r="30" ht="16" customHeight="1" spans="1:12">
      <c r="A30" s="90">
        <v>3</v>
      </c>
      <c r="B30" s="65" t="s">
        <v>59</v>
      </c>
      <c r="C30" s="60">
        <v>20</v>
      </c>
      <c r="D30" s="60" t="s">
        <v>18</v>
      </c>
      <c r="E30" s="60">
        <v>0</v>
      </c>
      <c r="F30" s="60">
        <f t="shared" si="5"/>
        <v>0</v>
      </c>
      <c r="G30" s="60">
        <v>9</v>
      </c>
      <c r="H30" s="60">
        <f t="shared" si="6"/>
        <v>180</v>
      </c>
      <c r="I30" s="61" t="s">
        <v>60</v>
      </c>
      <c r="J30" s="53"/>
      <c r="K30" s="53"/>
      <c r="L30" s="53"/>
    </row>
    <row r="31" s="16" customFormat="1" ht="15" customHeight="1" spans="1:12">
      <c r="A31" s="90">
        <v>4</v>
      </c>
      <c r="B31" s="94" t="s">
        <v>61</v>
      </c>
      <c r="C31" s="60"/>
      <c r="D31" s="60" t="s">
        <v>15</v>
      </c>
      <c r="E31" s="60">
        <v>8</v>
      </c>
      <c r="F31" s="60">
        <f t="shared" si="5"/>
        <v>0</v>
      </c>
      <c r="G31" s="60">
        <v>20</v>
      </c>
      <c r="H31" s="60">
        <f t="shared" si="6"/>
        <v>0</v>
      </c>
      <c r="I31" s="61" t="s">
        <v>62</v>
      </c>
      <c r="J31" s="95"/>
      <c r="K31" s="95"/>
      <c r="L31" s="95"/>
    </row>
    <row r="32" ht="15" customHeight="1" spans="1:12">
      <c r="A32" s="90">
        <v>5</v>
      </c>
      <c r="B32" s="63" t="s">
        <v>35</v>
      </c>
      <c r="C32" s="60"/>
      <c r="D32" s="60" t="s">
        <v>18</v>
      </c>
      <c r="E32" s="60">
        <v>0</v>
      </c>
      <c r="F32" s="60">
        <f t="shared" si="5"/>
        <v>0</v>
      </c>
      <c r="G32" s="60">
        <v>2.5</v>
      </c>
      <c r="H32" s="60">
        <f t="shared" si="6"/>
        <v>0</v>
      </c>
      <c r="I32" s="61" t="s">
        <v>63</v>
      </c>
      <c r="J32" s="53"/>
      <c r="K32" s="53"/>
      <c r="L32" s="53"/>
    </row>
    <row r="33" ht="15" customHeight="1" spans="1:12">
      <c r="A33" s="90">
        <v>6</v>
      </c>
      <c r="B33" s="63" t="s">
        <v>64</v>
      </c>
      <c r="C33" s="60">
        <f>2.97+5.3</f>
        <v>8.27</v>
      </c>
      <c r="D33" s="60" t="s">
        <v>18</v>
      </c>
      <c r="E33" s="60">
        <v>45</v>
      </c>
      <c r="F33" s="60">
        <f t="shared" si="5"/>
        <v>372.15</v>
      </c>
      <c r="G33" s="60">
        <v>20</v>
      </c>
      <c r="H33" s="60">
        <f t="shared" si="6"/>
        <v>165.4</v>
      </c>
      <c r="I33" s="61" t="s">
        <v>65</v>
      </c>
      <c r="J33" s="53"/>
      <c r="K33" s="53"/>
      <c r="L33" s="53"/>
    </row>
    <row r="34" ht="15" customHeight="1" spans="1:12">
      <c r="A34" s="90">
        <v>7</v>
      </c>
      <c r="B34" s="63" t="s">
        <v>51</v>
      </c>
      <c r="C34" s="60">
        <v>5.3</v>
      </c>
      <c r="D34" s="60" t="s">
        <v>18</v>
      </c>
      <c r="E34" s="60">
        <v>12</v>
      </c>
      <c r="F34" s="60">
        <f t="shared" ref="F34:F45" si="7">C34*E34</f>
        <v>63.6</v>
      </c>
      <c r="G34" s="60">
        <v>5</v>
      </c>
      <c r="H34" s="60">
        <f t="shared" ref="H34:H45" si="8">SUM(G34*C34)</f>
        <v>26.5</v>
      </c>
      <c r="I34" s="61" t="s">
        <v>52</v>
      </c>
      <c r="J34" s="53"/>
      <c r="K34" s="53"/>
      <c r="L34" s="53"/>
    </row>
    <row r="35" s="17" customFormat="1" ht="17.25" customHeight="1" spans="1:12">
      <c r="A35" s="96"/>
      <c r="B35" s="97" t="s">
        <v>53</v>
      </c>
      <c r="C35" s="96"/>
      <c r="D35" s="96"/>
      <c r="E35" s="98"/>
      <c r="F35" s="99">
        <f>SUM(F28:F34)</f>
        <v>1144.15</v>
      </c>
      <c r="G35" s="96"/>
      <c r="H35" s="99">
        <f>SUM(H28:H34)</f>
        <v>1548.2</v>
      </c>
      <c r="I35" s="100"/>
      <c r="J35" s="101"/>
      <c r="K35" s="101"/>
      <c r="L35" s="101"/>
    </row>
    <row r="36" ht="17.25" customHeight="1" spans="1:12">
      <c r="A36" s="60" t="s">
        <v>66</v>
      </c>
      <c r="B36" s="89" t="s">
        <v>67</v>
      </c>
      <c r="C36" s="60"/>
      <c r="D36" s="60"/>
      <c r="E36" s="60"/>
      <c r="F36" s="60"/>
      <c r="G36" s="60"/>
      <c r="H36" s="60"/>
      <c r="I36" s="61"/>
      <c r="J36" s="53"/>
      <c r="K36" s="53"/>
      <c r="L36" s="53"/>
    </row>
    <row r="37" s="15" customFormat="1" ht="24" customHeight="1" spans="1:12">
      <c r="A37" s="90">
        <v>1</v>
      </c>
      <c r="B37" s="91" t="s">
        <v>68</v>
      </c>
      <c r="C37" s="90">
        <v>6.5</v>
      </c>
      <c r="D37" s="90" t="s">
        <v>21</v>
      </c>
      <c r="E37" s="90">
        <v>28</v>
      </c>
      <c r="F37" s="90">
        <f t="shared" si="7"/>
        <v>182</v>
      </c>
      <c r="G37" s="90">
        <v>32</v>
      </c>
      <c r="H37" s="90">
        <f t="shared" si="8"/>
        <v>208</v>
      </c>
      <c r="I37" s="92" t="s">
        <v>34</v>
      </c>
      <c r="J37" s="93"/>
      <c r="K37" s="93"/>
      <c r="L37" s="93"/>
    </row>
    <row r="38" s="15" customFormat="1" ht="14.25" customHeight="1" spans="1:12">
      <c r="A38" s="90">
        <v>2</v>
      </c>
      <c r="B38" s="91" t="s">
        <v>57</v>
      </c>
      <c r="C38" s="90">
        <v>29.7</v>
      </c>
      <c r="D38" s="90" t="s">
        <v>21</v>
      </c>
      <c r="E38" s="90">
        <v>28</v>
      </c>
      <c r="F38" s="90">
        <f t="shared" si="7"/>
        <v>831.6</v>
      </c>
      <c r="G38" s="90">
        <v>40</v>
      </c>
      <c r="H38" s="90">
        <f t="shared" si="8"/>
        <v>1188</v>
      </c>
      <c r="I38" s="92" t="s">
        <v>58</v>
      </c>
      <c r="J38" s="93"/>
      <c r="K38" s="93"/>
      <c r="L38" s="93"/>
    </row>
    <row r="39" ht="16" customHeight="1" spans="1:12">
      <c r="A39" s="90">
        <v>3</v>
      </c>
      <c r="B39" s="65" t="s">
        <v>59</v>
      </c>
      <c r="C39" s="60">
        <v>29.7</v>
      </c>
      <c r="D39" s="60" t="s">
        <v>18</v>
      </c>
      <c r="E39" s="60">
        <v>0</v>
      </c>
      <c r="F39" s="60">
        <f t="shared" si="7"/>
        <v>0</v>
      </c>
      <c r="G39" s="60">
        <v>9</v>
      </c>
      <c r="H39" s="60">
        <f t="shared" si="8"/>
        <v>267.3</v>
      </c>
      <c r="I39" s="61" t="s">
        <v>60</v>
      </c>
      <c r="J39" s="53"/>
      <c r="K39" s="53"/>
      <c r="L39" s="53"/>
    </row>
    <row r="40" s="16" customFormat="1" ht="14.25" customHeight="1" spans="1:12">
      <c r="A40" s="90">
        <v>4</v>
      </c>
      <c r="B40" s="91" t="s">
        <v>61</v>
      </c>
      <c r="C40" s="60"/>
      <c r="D40" s="60" t="s">
        <v>15</v>
      </c>
      <c r="E40" s="60">
        <v>8</v>
      </c>
      <c r="F40" s="60">
        <f t="shared" si="7"/>
        <v>0</v>
      </c>
      <c r="G40" s="60">
        <v>20</v>
      </c>
      <c r="H40" s="60">
        <f t="shared" si="8"/>
        <v>0</v>
      </c>
      <c r="I40" s="61" t="s">
        <v>62</v>
      </c>
      <c r="J40" s="95"/>
      <c r="K40" s="95"/>
      <c r="L40" s="95"/>
    </row>
    <row r="41" ht="14" customHeight="1" spans="1:12">
      <c r="A41" s="90">
        <v>5</v>
      </c>
      <c r="B41" s="63" t="s">
        <v>35</v>
      </c>
      <c r="C41" s="60"/>
      <c r="D41" s="60" t="s">
        <v>18</v>
      </c>
      <c r="E41" s="60"/>
      <c r="F41" s="60">
        <f t="shared" si="7"/>
        <v>0</v>
      </c>
      <c r="G41" s="60">
        <v>2.5</v>
      </c>
      <c r="H41" s="60">
        <f t="shared" si="8"/>
        <v>0</v>
      </c>
      <c r="I41" s="61" t="s">
        <v>63</v>
      </c>
      <c r="J41" s="53"/>
      <c r="K41" s="53"/>
      <c r="L41" s="53"/>
    </row>
    <row r="42" ht="15" customHeight="1" spans="1:12">
      <c r="A42" s="90">
        <v>6</v>
      </c>
      <c r="B42" s="63" t="s">
        <v>64</v>
      </c>
      <c r="C42" s="60">
        <v>6.5</v>
      </c>
      <c r="D42" s="60" t="s">
        <v>18</v>
      </c>
      <c r="E42" s="60">
        <v>45</v>
      </c>
      <c r="F42" s="60">
        <f t="shared" si="7"/>
        <v>292.5</v>
      </c>
      <c r="G42" s="60">
        <v>20</v>
      </c>
      <c r="H42" s="60">
        <f t="shared" si="8"/>
        <v>130</v>
      </c>
      <c r="I42" s="61" t="s">
        <v>69</v>
      </c>
      <c r="J42" s="53"/>
      <c r="K42" s="53"/>
      <c r="L42" s="53"/>
    </row>
    <row r="43" ht="14.25" customHeight="1" spans="1:12">
      <c r="A43" s="90">
        <v>7</v>
      </c>
      <c r="B43" s="63" t="s">
        <v>70</v>
      </c>
      <c r="C43" s="60">
        <v>6.5</v>
      </c>
      <c r="D43" s="60" t="s">
        <v>18</v>
      </c>
      <c r="E43" s="60">
        <v>22</v>
      </c>
      <c r="F43" s="60">
        <f t="shared" si="7"/>
        <v>143</v>
      </c>
      <c r="G43" s="60">
        <v>12</v>
      </c>
      <c r="H43" s="60">
        <f t="shared" si="8"/>
        <v>78</v>
      </c>
      <c r="I43" s="61" t="s">
        <v>71</v>
      </c>
      <c r="J43" s="53"/>
      <c r="K43" s="53"/>
      <c r="L43" s="53"/>
    </row>
    <row r="44" ht="15" customHeight="1" spans="1:12">
      <c r="A44" s="90">
        <v>8</v>
      </c>
      <c r="B44" s="63" t="s">
        <v>72</v>
      </c>
      <c r="C44" s="60">
        <v>27</v>
      </c>
      <c r="D44" s="60" t="s">
        <v>18</v>
      </c>
      <c r="E44" s="60">
        <v>45</v>
      </c>
      <c r="F44" s="60">
        <f t="shared" si="7"/>
        <v>1215</v>
      </c>
      <c r="G44" s="60">
        <v>20</v>
      </c>
      <c r="H44" s="60">
        <f t="shared" si="8"/>
        <v>540</v>
      </c>
      <c r="I44" s="61" t="s">
        <v>73</v>
      </c>
      <c r="J44" s="53"/>
      <c r="K44" s="53"/>
      <c r="L44" s="53"/>
    </row>
    <row r="45" ht="15" customHeight="1" spans="1:12">
      <c r="A45" s="90">
        <v>9</v>
      </c>
      <c r="B45" s="63" t="s">
        <v>51</v>
      </c>
      <c r="C45" s="60">
        <v>6.5</v>
      </c>
      <c r="D45" s="60" t="s">
        <v>18</v>
      </c>
      <c r="E45" s="60">
        <v>12</v>
      </c>
      <c r="F45" s="60">
        <f t="shared" si="7"/>
        <v>78</v>
      </c>
      <c r="G45" s="60">
        <v>5</v>
      </c>
      <c r="H45" s="60">
        <f t="shared" si="8"/>
        <v>32.5</v>
      </c>
      <c r="I45" s="61" t="s">
        <v>52</v>
      </c>
      <c r="J45" s="53"/>
      <c r="K45" s="53"/>
      <c r="L45" s="53"/>
    </row>
    <row r="46" s="14" customFormat="1" ht="18" customHeight="1" spans="1:12">
      <c r="A46" s="85"/>
      <c r="B46" s="86" t="s">
        <v>53</v>
      </c>
      <c r="C46" s="85"/>
      <c r="D46" s="85"/>
      <c r="E46" s="85"/>
      <c r="F46" s="85">
        <f>SUM(F37:F45)</f>
        <v>2742.1</v>
      </c>
      <c r="G46" s="85"/>
      <c r="H46" s="85">
        <f>SUM(H37:H45)</f>
        <v>2443.8</v>
      </c>
      <c r="I46" s="87"/>
      <c r="J46" s="88"/>
      <c r="K46" s="88"/>
      <c r="L46" s="88"/>
    </row>
    <row r="47" s="18" customFormat="1" ht="18" customHeight="1" spans="1:12">
      <c r="A47" s="58" t="s">
        <v>74</v>
      </c>
      <c r="B47" s="59" t="s">
        <v>75</v>
      </c>
      <c r="C47" s="60"/>
      <c r="D47" s="60"/>
      <c r="E47" s="60"/>
      <c r="F47" s="60"/>
      <c r="G47" s="60"/>
      <c r="H47" s="60"/>
      <c r="I47" s="61"/>
      <c r="J47" s="53"/>
      <c r="K47" s="53"/>
      <c r="L47" s="53"/>
    </row>
    <row r="48" s="18" customFormat="1" ht="15" customHeight="1" spans="1:12">
      <c r="A48" s="62">
        <v>1</v>
      </c>
      <c r="B48" s="63" t="s">
        <v>14</v>
      </c>
      <c r="C48" s="60">
        <v>1.67</v>
      </c>
      <c r="D48" s="60" t="s">
        <v>15</v>
      </c>
      <c r="E48" s="60">
        <v>70</v>
      </c>
      <c r="F48" s="60">
        <f>C48*E48</f>
        <v>116.9</v>
      </c>
      <c r="G48" s="64">
        <v>25</v>
      </c>
      <c r="H48" s="60">
        <f>SUM(G48*C48)</f>
        <v>41.75</v>
      </c>
      <c r="I48" s="65" t="s">
        <v>16</v>
      </c>
      <c r="J48" s="53"/>
      <c r="K48" s="53"/>
      <c r="L48" s="53"/>
    </row>
    <row r="49" s="15" customFormat="1" ht="31" customHeight="1" spans="1:12">
      <c r="A49" s="62">
        <v>2</v>
      </c>
      <c r="B49" s="91" t="s">
        <v>56</v>
      </c>
      <c r="C49" s="90">
        <v>10</v>
      </c>
      <c r="D49" s="90" t="s">
        <v>21</v>
      </c>
      <c r="E49" s="90">
        <v>28</v>
      </c>
      <c r="F49" s="90">
        <f t="shared" ref="F49:F56" si="9">C49*E49</f>
        <v>280</v>
      </c>
      <c r="G49" s="90">
        <v>71</v>
      </c>
      <c r="H49" s="90">
        <f t="shared" ref="H49:H56" si="10">SUM(G49*C49)</f>
        <v>710</v>
      </c>
      <c r="I49" s="92" t="s">
        <v>34</v>
      </c>
      <c r="J49" s="93"/>
      <c r="K49" s="93"/>
      <c r="L49" s="93"/>
    </row>
    <row r="50" s="15" customFormat="1" ht="14" customHeight="1" spans="1:12">
      <c r="A50" s="62">
        <v>3</v>
      </c>
      <c r="B50" s="63" t="s">
        <v>35</v>
      </c>
      <c r="C50" s="60"/>
      <c r="D50" s="60" t="s">
        <v>18</v>
      </c>
      <c r="E50" s="60"/>
      <c r="F50" s="60">
        <f t="shared" si="9"/>
        <v>0</v>
      </c>
      <c r="G50" s="60">
        <v>2.5</v>
      </c>
      <c r="H50" s="60">
        <f t="shared" si="10"/>
        <v>0</v>
      </c>
      <c r="I50" s="61" t="s">
        <v>63</v>
      </c>
      <c r="J50" s="53"/>
      <c r="K50" s="53"/>
      <c r="L50" s="53"/>
    </row>
    <row r="51" s="18" customFormat="1" ht="26" customHeight="1" spans="1:12">
      <c r="A51" s="62">
        <v>4</v>
      </c>
      <c r="B51" s="102" t="s">
        <v>20</v>
      </c>
      <c r="C51" s="103">
        <v>0</v>
      </c>
      <c r="D51" s="90" t="s">
        <v>21</v>
      </c>
      <c r="E51" s="90">
        <v>125</v>
      </c>
      <c r="F51" s="90">
        <f t="shared" si="9"/>
        <v>0</v>
      </c>
      <c r="G51" s="90">
        <v>65</v>
      </c>
      <c r="H51" s="90">
        <f t="shared" si="10"/>
        <v>0</v>
      </c>
      <c r="I51" s="92" t="s">
        <v>22</v>
      </c>
      <c r="J51" s="22"/>
      <c r="K51" s="22"/>
      <c r="L51" s="22"/>
    </row>
    <row r="52" s="18" customFormat="1" ht="15.75" customHeight="1" spans="1:12">
      <c r="A52" s="62">
        <v>5</v>
      </c>
      <c r="B52" s="63" t="s">
        <v>76</v>
      </c>
      <c r="C52" s="60">
        <v>1.67</v>
      </c>
      <c r="D52" s="60" t="s">
        <v>15</v>
      </c>
      <c r="E52" s="60">
        <v>65</v>
      </c>
      <c r="F52" s="60">
        <f t="shared" si="9"/>
        <v>108.55</v>
      </c>
      <c r="G52" s="60">
        <v>85</v>
      </c>
      <c r="H52" s="60">
        <f t="shared" si="10"/>
        <v>141.95</v>
      </c>
      <c r="I52" s="61" t="s">
        <v>77</v>
      </c>
      <c r="J52" s="53"/>
      <c r="K52" s="53"/>
      <c r="L52" s="53"/>
    </row>
    <row r="53" s="18" customFormat="1" ht="16.5" customHeight="1" spans="1:12">
      <c r="A53" s="62">
        <v>6</v>
      </c>
      <c r="B53" s="63" t="s">
        <v>40</v>
      </c>
      <c r="C53" s="60">
        <f>10+36</f>
        <v>46</v>
      </c>
      <c r="D53" s="62" t="s">
        <v>38</v>
      </c>
      <c r="E53" s="60">
        <v>2</v>
      </c>
      <c r="F53" s="60">
        <f t="shared" si="9"/>
        <v>92</v>
      </c>
      <c r="G53" s="60">
        <v>4</v>
      </c>
      <c r="H53" s="60">
        <f t="shared" si="10"/>
        <v>184</v>
      </c>
      <c r="I53" s="61" t="s">
        <v>41</v>
      </c>
      <c r="J53" s="53"/>
      <c r="K53" s="53"/>
      <c r="L53" s="53"/>
    </row>
    <row r="54" s="18" customFormat="1" ht="26.25" customHeight="1" spans="1:12">
      <c r="A54" s="62">
        <v>7</v>
      </c>
      <c r="B54" s="63" t="s">
        <v>42</v>
      </c>
      <c r="C54" s="60">
        <v>46</v>
      </c>
      <c r="D54" s="60" t="s">
        <v>18</v>
      </c>
      <c r="E54" s="60">
        <v>19</v>
      </c>
      <c r="F54" s="60">
        <f t="shared" si="9"/>
        <v>874</v>
      </c>
      <c r="G54" s="60">
        <v>13</v>
      </c>
      <c r="H54" s="60">
        <f t="shared" si="10"/>
        <v>598</v>
      </c>
      <c r="I54" s="61" t="s">
        <v>43</v>
      </c>
      <c r="J54" s="53"/>
      <c r="K54" s="53"/>
      <c r="L54" s="53"/>
    </row>
    <row r="55" s="18" customFormat="1" ht="27" customHeight="1" spans="1:12">
      <c r="A55" s="62">
        <v>8</v>
      </c>
      <c r="B55" s="63" t="s">
        <v>44</v>
      </c>
      <c r="C55" s="60">
        <v>0</v>
      </c>
      <c r="D55" s="60" t="s">
        <v>18</v>
      </c>
      <c r="E55" s="60">
        <v>12</v>
      </c>
      <c r="F55" s="60">
        <f t="shared" si="9"/>
        <v>0</v>
      </c>
      <c r="G55" s="60">
        <v>7</v>
      </c>
      <c r="H55" s="60">
        <f t="shared" si="10"/>
        <v>0</v>
      </c>
      <c r="I55" s="61" t="s">
        <v>45</v>
      </c>
      <c r="J55" s="53"/>
      <c r="K55" s="53"/>
      <c r="L55" s="53"/>
    </row>
    <row r="56" s="18" customFormat="1" ht="15" customHeight="1" spans="1:12">
      <c r="A56" s="62">
        <v>9</v>
      </c>
      <c r="B56" s="63" t="s">
        <v>51</v>
      </c>
      <c r="C56" s="60">
        <v>10</v>
      </c>
      <c r="D56" s="60" t="s">
        <v>18</v>
      </c>
      <c r="E56" s="60">
        <v>12</v>
      </c>
      <c r="F56" s="60">
        <f t="shared" si="9"/>
        <v>120</v>
      </c>
      <c r="G56" s="60">
        <v>5</v>
      </c>
      <c r="H56" s="60">
        <f t="shared" si="10"/>
        <v>50</v>
      </c>
      <c r="I56" s="61" t="s">
        <v>52</v>
      </c>
      <c r="J56" s="53"/>
      <c r="K56" s="53"/>
      <c r="L56" s="53"/>
    </row>
    <row r="57" s="14" customFormat="1" ht="18" customHeight="1" spans="1:12">
      <c r="A57" s="85"/>
      <c r="B57" s="86" t="s">
        <v>53</v>
      </c>
      <c r="C57" s="85"/>
      <c r="D57" s="85"/>
      <c r="E57" s="85"/>
      <c r="F57" s="85">
        <f>SUM(F48:F56)</f>
        <v>1591.45</v>
      </c>
      <c r="G57" s="85"/>
      <c r="H57" s="85">
        <f>SUM(H48:H56)</f>
        <v>1725.7</v>
      </c>
      <c r="I57" s="87"/>
      <c r="J57" s="88"/>
      <c r="K57" s="88"/>
      <c r="L57" s="88"/>
    </row>
    <row r="58" ht="18.75" customHeight="1" spans="1:12">
      <c r="A58" s="58" t="s">
        <v>78</v>
      </c>
      <c r="B58" s="104" t="s">
        <v>79</v>
      </c>
      <c r="C58" s="105"/>
      <c r="D58" s="105"/>
      <c r="E58" s="106"/>
      <c r="F58" s="60"/>
      <c r="G58" s="60"/>
      <c r="H58" s="60"/>
      <c r="I58" s="61"/>
      <c r="J58" s="53"/>
      <c r="K58" s="53"/>
      <c r="L58" s="53"/>
    </row>
    <row r="59" s="18" customFormat="1" ht="15" customHeight="1" spans="1:12">
      <c r="A59" s="62">
        <v>1</v>
      </c>
      <c r="B59" s="63" t="s">
        <v>14</v>
      </c>
      <c r="C59" s="60">
        <v>6.88</v>
      </c>
      <c r="D59" s="60" t="s">
        <v>15</v>
      </c>
      <c r="E59" s="60">
        <v>70</v>
      </c>
      <c r="F59" s="60">
        <f>C59*E59</f>
        <v>481.6</v>
      </c>
      <c r="G59" s="64">
        <v>25</v>
      </c>
      <c r="H59" s="60">
        <f>SUM(G59*C59)</f>
        <v>172</v>
      </c>
      <c r="I59" s="65" t="s">
        <v>16</v>
      </c>
      <c r="J59" s="53"/>
      <c r="K59" s="53"/>
      <c r="L59" s="53"/>
    </row>
    <row r="60" s="19" customFormat="1" ht="24" customHeight="1" spans="1:12">
      <c r="A60" s="62">
        <v>2</v>
      </c>
      <c r="B60" s="91" t="s">
        <v>80</v>
      </c>
      <c r="C60" s="90">
        <v>21</v>
      </c>
      <c r="D60" s="90" t="s">
        <v>21</v>
      </c>
      <c r="E60" s="90">
        <v>26</v>
      </c>
      <c r="F60" s="90">
        <f>C60*E60</f>
        <v>546</v>
      </c>
      <c r="G60" s="90">
        <v>20</v>
      </c>
      <c r="H60" s="90">
        <f>SUM(G60*C60)</f>
        <v>420</v>
      </c>
      <c r="I60" s="92" t="s">
        <v>81</v>
      </c>
      <c r="J60" s="107"/>
      <c r="K60" s="107"/>
      <c r="L60" s="107"/>
    </row>
    <row r="61" s="15" customFormat="1" ht="14" customHeight="1" spans="1:12">
      <c r="A61" s="62">
        <v>3</v>
      </c>
      <c r="B61" s="63" t="s">
        <v>35</v>
      </c>
      <c r="C61" s="60"/>
      <c r="D61" s="60" t="s">
        <v>18</v>
      </c>
      <c r="E61" s="60"/>
      <c r="F61" s="60">
        <f t="shared" ref="F61:F66" si="11">C61*E61</f>
        <v>0</v>
      </c>
      <c r="G61" s="60">
        <v>2.5</v>
      </c>
      <c r="H61" s="60">
        <f t="shared" ref="H61:H66" si="12">SUM(G61*C61)</f>
        <v>0</v>
      </c>
      <c r="I61" s="61" t="s">
        <v>63</v>
      </c>
      <c r="J61" s="53"/>
      <c r="K61" s="53"/>
      <c r="L61" s="53"/>
    </row>
    <row r="62" s="20" customFormat="1" ht="19" customHeight="1" spans="1:12">
      <c r="A62" s="62">
        <v>4</v>
      </c>
      <c r="B62" s="70" t="s">
        <v>20</v>
      </c>
      <c r="C62" s="71">
        <v>15</v>
      </c>
      <c r="D62" s="72" t="s">
        <v>21</v>
      </c>
      <c r="E62" s="72">
        <v>125</v>
      </c>
      <c r="F62" s="72">
        <f t="shared" si="11"/>
        <v>1875</v>
      </c>
      <c r="G62" s="72">
        <v>65</v>
      </c>
      <c r="H62" s="72">
        <f t="shared" si="12"/>
        <v>975</v>
      </c>
      <c r="I62" s="73" t="s">
        <v>22</v>
      </c>
      <c r="J62" s="10"/>
      <c r="K62" s="10"/>
      <c r="L62" s="10"/>
    </row>
    <row r="63" s="10" customFormat="1" ht="26" customHeight="1" spans="1:12">
      <c r="A63" s="62">
        <v>5</v>
      </c>
      <c r="B63" s="76" t="s">
        <v>40</v>
      </c>
      <c r="C63" s="68">
        <f>21+58</f>
        <v>79</v>
      </c>
      <c r="D63" s="66" t="s">
        <v>38</v>
      </c>
      <c r="E63" s="68">
        <v>2</v>
      </c>
      <c r="F63" s="68">
        <f t="shared" si="11"/>
        <v>158</v>
      </c>
      <c r="G63" s="68">
        <v>4</v>
      </c>
      <c r="H63" s="68">
        <f t="shared" si="12"/>
        <v>316</v>
      </c>
      <c r="I63" s="69" t="s">
        <v>41</v>
      </c>
      <c r="J63" s="77"/>
      <c r="K63" s="77"/>
      <c r="L63" s="77"/>
    </row>
    <row r="64" s="10" customFormat="1" ht="34" customHeight="1" spans="1:12">
      <c r="A64" s="62">
        <v>6</v>
      </c>
      <c r="B64" s="76" t="s">
        <v>42</v>
      </c>
      <c r="C64" s="68">
        <f>21+58</f>
        <v>79</v>
      </c>
      <c r="D64" s="68" t="s">
        <v>18</v>
      </c>
      <c r="E64" s="68">
        <v>19</v>
      </c>
      <c r="F64" s="68">
        <f t="shared" si="11"/>
        <v>1501</v>
      </c>
      <c r="G64" s="68">
        <v>13</v>
      </c>
      <c r="H64" s="68">
        <f t="shared" si="12"/>
        <v>1027</v>
      </c>
      <c r="I64" s="69" t="s">
        <v>43</v>
      </c>
      <c r="J64" s="77"/>
      <c r="K64" s="77"/>
      <c r="L64" s="77"/>
    </row>
    <row r="65" ht="27" customHeight="1" spans="1:12">
      <c r="A65" s="62">
        <v>7</v>
      </c>
      <c r="B65" s="63" t="s">
        <v>44</v>
      </c>
      <c r="C65" s="60">
        <v>0</v>
      </c>
      <c r="D65" s="60" t="s">
        <v>18</v>
      </c>
      <c r="E65" s="60">
        <v>12</v>
      </c>
      <c r="F65" s="60">
        <f t="shared" si="11"/>
        <v>0</v>
      </c>
      <c r="G65" s="60">
        <v>7</v>
      </c>
      <c r="H65" s="60">
        <f t="shared" si="12"/>
        <v>0</v>
      </c>
      <c r="I65" s="61" t="s">
        <v>45</v>
      </c>
      <c r="J65" s="53"/>
      <c r="K65" s="53"/>
      <c r="L65" s="53"/>
    </row>
    <row r="66" ht="15" customHeight="1" spans="1:12">
      <c r="A66" s="62">
        <v>8</v>
      </c>
      <c r="B66" s="63" t="s">
        <v>51</v>
      </c>
      <c r="C66" s="60">
        <v>0</v>
      </c>
      <c r="D66" s="60" t="s">
        <v>18</v>
      </c>
      <c r="E66" s="60">
        <v>12</v>
      </c>
      <c r="F66" s="60">
        <f t="shared" si="11"/>
        <v>0</v>
      </c>
      <c r="G66" s="60">
        <v>5</v>
      </c>
      <c r="H66" s="60">
        <f t="shared" si="12"/>
        <v>0</v>
      </c>
      <c r="I66" s="61" t="s">
        <v>52</v>
      </c>
      <c r="J66" s="53"/>
      <c r="K66" s="53"/>
      <c r="L66" s="53"/>
    </row>
    <row r="67" s="14" customFormat="1" ht="18" customHeight="1" spans="1:12">
      <c r="A67" s="85"/>
      <c r="B67" s="86" t="s">
        <v>53</v>
      </c>
      <c r="C67" s="85"/>
      <c r="D67" s="85"/>
      <c r="E67" s="85"/>
      <c r="F67" s="85">
        <f>SUM(F59:F66)</f>
        <v>4561.6</v>
      </c>
      <c r="G67" s="85"/>
      <c r="H67" s="85">
        <f>SUM(H59:H66)</f>
        <v>2910</v>
      </c>
      <c r="I67" s="87"/>
      <c r="J67" s="88"/>
      <c r="K67" s="88"/>
      <c r="L67" s="88"/>
    </row>
    <row r="68" ht="18" customHeight="1" spans="1:12">
      <c r="A68" s="58" t="s">
        <v>82</v>
      </c>
      <c r="B68" s="59" t="s">
        <v>83</v>
      </c>
      <c r="C68" s="60"/>
      <c r="D68" s="60"/>
      <c r="E68" s="60"/>
      <c r="F68" s="60"/>
      <c r="G68" s="60"/>
      <c r="H68" s="60"/>
      <c r="I68" s="61"/>
      <c r="J68" s="53"/>
      <c r="K68" s="53"/>
      <c r="L68" s="53"/>
    </row>
    <row r="69" s="18" customFormat="1" ht="15" customHeight="1" spans="1:12">
      <c r="A69" s="62">
        <v>1</v>
      </c>
      <c r="B69" s="63" t="s">
        <v>14</v>
      </c>
      <c r="C69" s="60">
        <v>1.67</v>
      </c>
      <c r="D69" s="60" t="s">
        <v>15</v>
      </c>
      <c r="E69" s="60">
        <v>70</v>
      </c>
      <c r="F69" s="60">
        <f>C69*E69</f>
        <v>116.9</v>
      </c>
      <c r="G69" s="64">
        <v>25</v>
      </c>
      <c r="H69" s="60">
        <f>SUM(G69*C69)</f>
        <v>41.75</v>
      </c>
      <c r="I69" s="65" t="s">
        <v>16</v>
      </c>
      <c r="J69" s="53"/>
      <c r="K69" s="53"/>
      <c r="L69" s="53"/>
    </row>
    <row r="70" s="19" customFormat="1" ht="24" customHeight="1" spans="1:12">
      <c r="A70" s="62">
        <v>2</v>
      </c>
      <c r="B70" s="91" t="s">
        <v>80</v>
      </c>
      <c r="C70" s="90">
        <v>11</v>
      </c>
      <c r="D70" s="90" t="s">
        <v>21</v>
      </c>
      <c r="E70" s="90">
        <v>26</v>
      </c>
      <c r="F70" s="90">
        <f>C70*E70</f>
        <v>286</v>
      </c>
      <c r="G70" s="90">
        <v>20</v>
      </c>
      <c r="H70" s="90">
        <f>SUM(G70*C70)</f>
        <v>220</v>
      </c>
      <c r="I70" s="92" t="s">
        <v>81</v>
      </c>
      <c r="J70" s="107"/>
      <c r="K70" s="107"/>
      <c r="L70" s="107"/>
    </row>
    <row r="71" s="15" customFormat="1" ht="14" customHeight="1" spans="1:12">
      <c r="A71" s="62">
        <v>3</v>
      </c>
      <c r="B71" s="63" t="s">
        <v>35</v>
      </c>
      <c r="C71" s="60"/>
      <c r="D71" s="60" t="s">
        <v>18</v>
      </c>
      <c r="E71" s="60"/>
      <c r="F71" s="60">
        <f t="shared" ref="F70:F73" si="13">C71*E71</f>
        <v>0</v>
      </c>
      <c r="G71" s="60">
        <v>2.5</v>
      </c>
      <c r="H71" s="60">
        <f t="shared" ref="H70:H76" si="14">SUM(G71*C71)</f>
        <v>0</v>
      </c>
      <c r="I71" s="61" t="s">
        <v>63</v>
      </c>
      <c r="J71" s="53"/>
      <c r="K71" s="53"/>
      <c r="L71" s="53"/>
    </row>
    <row r="72" s="18" customFormat="1" ht="26" customHeight="1" spans="1:12">
      <c r="A72" s="62">
        <v>4</v>
      </c>
      <c r="B72" s="102" t="s">
        <v>20</v>
      </c>
      <c r="C72" s="103">
        <v>0</v>
      </c>
      <c r="D72" s="90" t="s">
        <v>21</v>
      </c>
      <c r="E72" s="90">
        <v>125</v>
      </c>
      <c r="F72" s="90">
        <f t="shared" si="13"/>
        <v>0</v>
      </c>
      <c r="G72" s="90">
        <v>65</v>
      </c>
      <c r="H72" s="90">
        <f t="shared" si="14"/>
        <v>0</v>
      </c>
      <c r="I72" s="92" t="s">
        <v>22</v>
      </c>
      <c r="J72" s="22"/>
      <c r="K72" s="22"/>
      <c r="L72" s="22"/>
    </row>
    <row r="73" ht="15.75" customHeight="1" spans="1:12">
      <c r="A73" s="62">
        <v>5</v>
      </c>
      <c r="B73" s="63" t="s">
        <v>76</v>
      </c>
      <c r="C73" s="60">
        <v>1.67</v>
      </c>
      <c r="D73" s="60" t="s">
        <v>15</v>
      </c>
      <c r="E73" s="60">
        <v>65</v>
      </c>
      <c r="F73" s="60">
        <f t="shared" si="13"/>
        <v>108.55</v>
      </c>
      <c r="G73" s="60">
        <v>85</v>
      </c>
      <c r="H73" s="60">
        <f t="shared" si="14"/>
        <v>141.95</v>
      </c>
      <c r="I73" s="61" t="s">
        <v>77</v>
      </c>
      <c r="J73" s="53"/>
      <c r="K73" s="53"/>
      <c r="L73" s="53"/>
    </row>
    <row r="74" ht="16.5" customHeight="1" spans="1:12">
      <c r="A74" s="62">
        <v>6</v>
      </c>
      <c r="B74" s="63" t="s">
        <v>40</v>
      </c>
      <c r="C74" s="60">
        <v>48</v>
      </c>
      <c r="D74" s="62" t="s">
        <v>38</v>
      </c>
      <c r="E74" s="60">
        <v>2</v>
      </c>
      <c r="F74" s="60">
        <f t="shared" ref="F74:F77" si="15">C74*E74</f>
        <v>96</v>
      </c>
      <c r="G74" s="60">
        <v>4</v>
      </c>
      <c r="H74" s="60">
        <f t="shared" si="14"/>
        <v>192</v>
      </c>
      <c r="I74" s="61" t="s">
        <v>41</v>
      </c>
      <c r="J74" s="53"/>
      <c r="K74" s="53"/>
      <c r="L74" s="53"/>
    </row>
    <row r="75" ht="26.25" customHeight="1" spans="1:12">
      <c r="A75" s="62">
        <v>7</v>
      </c>
      <c r="B75" s="63" t="s">
        <v>42</v>
      </c>
      <c r="C75" s="60">
        <v>48</v>
      </c>
      <c r="D75" s="60" t="s">
        <v>18</v>
      </c>
      <c r="E75" s="60">
        <v>19</v>
      </c>
      <c r="F75" s="60">
        <f t="shared" si="15"/>
        <v>912</v>
      </c>
      <c r="G75" s="60">
        <v>13</v>
      </c>
      <c r="H75" s="60">
        <f t="shared" si="14"/>
        <v>624</v>
      </c>
      <c r="I75" s="61" t="s">
        <v>43</v>
      </c>
      <c r="J75" s="53"/>
      <c r="K75" s="53"/>
      <c r="L75" s="53"/>
    </row>
    <row r="76" ht="27" customHeight="1" spans="1:12">
      <c r="A76" s="62">
        <v>8</v>
      </c>
      <c r="B76" s="63" t="s">
        <v>44</v>
      </c>
      <c r="C76" s="60">
        <v>0</v>
      </c>
      <c r="D76" s="60" t="s">
        <v>18</v>
      </c>
      <c r="E76" s="60">
        <v>12</v>
      </c>
      <c r="F76" s="60">
        <f t="shared" si="15"/>
        <v>0</v>
      </c>
      <c r="G76" s="60">
        <v>7</v>
      </c>
      <c r="H76" s="60">
        <f t="shared" si="14"/>
        <v>0</v>
      </c>
      <c r="I76" s="61" t="s">
        <v>45</v>
      </c>
      <c r="J76" s="53"/>
      <c r="K76" s="53"/>
      <c r="L76" s="53"/>
    </row>
    <row r="77" ht="15" customHeight="1" spans="1:12">
      <c r="A77" s="62">
        <v>9</v>
      </c>
      <c r="B77" s="63" t="s">
        <v>51</v>
      </c>
      <c r="C77" s="60">
        <v>0</v>
      </c>
      <c r="D77" s="60" t="s">
        <v>18</v>
      </c>
      <c r="E77" s="60">
        <v>12</v>
      </c>
      <c r="F77" s="60">
        <f t="shared" si="15"/>
        <v>0</v>
      </c>
      <c r="G77" s="60">
        <v>5</v>
      </c>
      <c r="H77" s="60">
        <f t="shared" ref="H77:H82" si="16">SUM(G77*C77)</f>
        <v>0</v>
      </c>
      <c r="I77" s="61" t="s">
        <v>52</v>
      </c>
      <c r="J77" s="53"/>
      <c r="K77" s="53"/>
      <c r="L77" s="53"/>
    </row>
    <row r="78" s="14" customFormat="1" ht="18" customHeight="1" spans="1:12">
      <c r="A78" s="85"/>
      <c r="B78" s="86" t="s">
        <v>53</v>
      </c>
      <c r="C78" s="85"/>
      <c r="D78" s="85"/>
      <c r="E78" s="85"/>
      <c r="F78" s="85">
        <f>SUM(F69:F77)</f>
        <v>1519.45</v>
      </c>
      <c r="G78" s="85"/>
      <c r="H78" s="85">
        <f>SUM(H69:H77)</f>
        <v>1219.7</v>
      </c>
      <c r="I78" s="87"/>
      <c r="J78" s="88"/>
      <c r="K78" s="88"/>
      <c r="L78" s="88"/>
    </row>
    <row r="79" ht="18" customHeight="1" spans="1:12">
      <c r="A79" s="58" t="s">
        <v>84</v>
      </c>
      <c r="B79" s="59" t="s">
        <v>85</v>
      </c>
      <c r="C79" s="60"/>
      <c r="D79" s="60"/>
      <c r="E79" s="60"/>
      <c r="F79" s="60"/>
      <c r="G79" s="60"/>
      <c r="H79" s="60"/>
      <c r="I79" s="61"/>
      <c r="J79" s="53"/>
      <c r="K79" s="53"/>
      <c r="L79" s="53"/>
    </row>
    <row r="80" s="18" customFormat="1" ht="15" customHeight="1" spans="1:12">
      <c r="A80" s="62">
        <v>1</v>
      </c>
      <c r="B80" s="63" t="s">
        <v>14</v>
      </c>
      <c r="C80" s="60">
        <v>3.3</v>
      </c>
      <c r="D80" s="60" t="s">
        <v>15</v>
      </c>
      <c r="E80" s="60">
        <v>70</v>
      </c>
      <c r="F80" s="60">
        <f t="shared" ref="F80:F82" si="17">C80*E80</f>
        <v>231</v>
      </c>
      <c r="G80" s="64">
        <v>25</v>
      </c>
      <c r="H80" s="60">
        <f t="shared" si="16"/>
        <v>82.5</v>
      </c>
      <c r="I80" s="65" t="s">
        <v>16</v>
      </c>
      <c r="J80" s="53"/>
      <c r="K80" s="53"/>
      <c r="L80" s="53"/>
    </row>
    <row r="81" s="19" customFormat="1" ht="24" customHeight="1" spans="1:12">
      <c r="A81" s="62">
        <v>2</v>
      </c>
      <c r="B81" s="91" t="s">
        <v>80</v>
      </c>
      <c r="C81" s="90">
        <v>9</v>
      </c>
      <c r="D81" s="90" t="s">
        <v>21</v>
      </c>
      <c r="E81" s="90">
        <v>26</v>
      </c>
      <c r="F81" s="90">
        <f t="shared" si="17"/>
        <v>234</v>
      </c>
      <c r="G81" s="90">
        <v>20</v>
      </c>
      <c r="H81" s="90">
        <f t="shared" si="16"/>
        <v>180</v>
      </c>
      <c r="I81" s="92" t="s">
        <v>81</v>
      </c>
      <c r="J81" s="107"/>
      <c r="K81" s="107"/>
      <c r="L81" s="107"/>
    </row>
    <row r="82" s="18" customFormat="1" ht="26" customHeight="1" spans="1:12">
      <c r="A82" s="90">
        <v>3</v>
      </c>
      <c r="B82" s="102" t="s">
        <v>20</v>
      </c>
      <c r="C82" s="103">
        <v>0</v>
      </c>
      <c r="D82" s="90" t="s">
        <v>21</v>
      </c>
      <c r="E82" s="90">
        <v>125</v>
      </c>
      <c r="F82" s="90">
        <f t="shared" si="17"/>
        <v>0</v>
      </c>
      <c r="G82" s="90">
        <v>65</v>
      </c>
      <c r="H82" s="90">
        <f t="shared" si="16"/>
        <v>0</v>
      </c>
      <c r="I82" s="92" t="s">
        <v>22</v>
      </c>
      <c r="J82" s="22"/>
      <c r="K82" s="22"/>
      <c r="L82" s="22"/>
    </row>
    <row r="83" s="15" customFormat="1" ht="14" customHeight="1" spans="1:12">
      <c r="A83" s="90">
        <v>2</v>
      </c>
      <c r="B83" s="63" t="s">
        <v>35</v>
      </c>
      <c r="C83" s="60"/>
      <c r="D83" s="60" t="s">
        <v>18</v>
      </c>
      <c r="E83" s="60"/>
      <c r="F83" s="60">
        <f t="shared" ref="F83:F88" si="18">C83*E83</f>
        <v>0</v>
      </c>
      <c r="G83" s="60">
        <v>2.5</v>
      </c>
      <c r="H83" s="60">
        <f t="shared" ref="H83:H88" si="19">SUM(G83*C83)</f>
        <v>0</v>
      </c>
      <c r="I83" s="61" t="s">
        <v>63</v>
      </c>
      <c r="J83" s="53"/>
      <c r="K83" s="53"/>
      <c r="L83" s="53"/>
    </row>
    <row r="84" ht="15.75" customHeight="1" spans="1:12">
      <c r="A84" s="90">
        <v>3</v>
      </c>
      <c r="B84" s="63" t="s">
        <v>76</v>
      </c>
      <c r="C84" s="60">
        <v>1.1</v>
      </c>
      <c r="D84" s="60" t="s">
        <v>15</v>
      </c>
      <c r="E84" s="60">
        <v>65</v>
      </c>
      <c r="F84" s="60">
        <f t="shared" si="18"/>
        <v>71.5</v>
      </c>
      <c r="G84" s="60">
        <v>85</v>
      </c>
      <c r="H84" s="60">
        <f t="shared" si="19"/>
        <v>93.5</v>
      </c>
      <c r="I84" s="61" t="s">
        <v>77</v>
      </c>
      <c r="J84" s="53"/>
      <c r="K84" s="53"/>
      <c r="L84" s="53"/>
    </row>
    <row r="85" s="10" customFormat="1" ht="16.5" customHeight="1" spans="1:12">
      <c r="A85" s="72">
        <v>4</v>
      </c>
      <c r="B85" s="76" t="s">
        <v>40</v>
      </c>
      <c r="C85" s="68">
        <v>46</v>
      </c>
      <c r="D85" s="66" t="s">
        <v>38</v>
      </c>
      <c r="E85" s="68">
        <v>2</v>
      </c>
      <c r="F85" s="68">
        <f t="shared" si="18"/>
        <v>92</v>
      </c>
      <c r="G85" s="68">
        <v>4</v>
      </c>
      <c r="H85" s="68">
        <f t="shared" si="19"/>
        <v>184</v>
      </c>
      <c r="I85" s="69" t="s">
        <v>41</v>
      </c>
      <c r="J85" s="77"/>
      <c r="K85" s="77"/>
      <c r="L85" s="77"/>
    </row>
    <row r="86" s="10" customFormat="1" ht="26.25" customHeight="1" spans="1:12">
      <c r="A86" s="72">
        <v>5</v>
      </c>
      <c r="B86" s="76" t="s">
        <v>42</v>
      </c>
      <c r="C86" s="68">
        <v>46</v>
      </c>
      <c r="D86" s="68" t="s">
        <v>18</v>
      </c>
      <c r="E86" s="68">
        <v>19</v>
      </c>
      <c r="F86" s="68">
        <f t="shared" si="18"/>
        <v>874</v>
      </c>
      <c r="G86" s="68">
        <v>13</v>
      </c>
      <c r="H86" s="68">
        <f t="shared" si="19"/>
        <v>598</v>
      </c>
      <c r="I86" s="69" t="s">
        <v>43</v>
      </c>
      <c r="J86" s="77"/>
      <c r="K86" s="77"/>
      <c r="L86" s="77"/>
    </row>
    <row r="87" ht="27" customHeight="1" spans="1:12">
      <c r="A87" s="90">
        <v>6</v>
      </c>
      <c r="B87" s="63" t="s">
        <v>44</v>
      </c>
      <c r="C87" s="60">
        <v>0</v>
      </c>
      <c r="D87" s="60" t="s">
        <v>18</v>
      </c>
      <c r="E87" s="60">
        <v>12</v>
      </c>
      <c r="F87" s="60">
        <f t="shared" si="18"/>
        <v>0</v>
      </c>
      <c r="G87" s="60">
        <v>7</v>
      </c>
      <c r="H87" s="60">
        <f t="shared" si="19"/>
        <v>0</v>
      </c>
      <c r="I87" s="61" t="s">
        <v>45</v>
      </c>
      <c r="J87" s="53"/>
      <c r="K87" s="53"/>
      <c r="L87" s="53"/>
    </row>
    <row r="88" ht="15" customHeight="1" spans="1:12">
      <c r="A88" s="90">
        <v>7</v>
      </c>
      <c r="B88" s="63" t="s">
        <v>51</v>
      </c>
      <c r="C88" s="60">
        <v>0</v>
      </c>
      <c r="D88" s="60" t="s">
        <v>18</v>
      </c>
      <c r="E88" s="60">
        <v>12</v>
      </c>
      <c r="F88" s="60">
        <f t="shared" si="18"/>
        <v>0</v>
      </c>
      <c r="G88" s="60">
        <v>5</v>
      </c>
      <c r="H88" s="60">
        <f t="shared" si="19"/>
        <v>0</v>
      </c>
      <c r="I88" s="61" t="s">
        <v>52</v>
      </c>
      <c r="J88" s="53"/>
      <c r="K88" s="53"/>
      <c r="L88" s="53"/>
    </row>
    <row r="89" s="14" customFormat="1" ht="18" customHeight="1" spans="1:12">
      <c r="A89" s="85"/>
      <c r="B89" s="86" t="s">
        <v>53</v>
      </c>
      <c r="C89" s="85"/>
      <c r="D89" s="85"/>
      <c r="E89" s="85"/>
      <c r="F89" s="85">
        <f>SUM(F80:F88)</f>
        <v>1502.5</v>
      </c>
      <c r="G89" s="85"/>
      <c r="H89" s="85">
        <f>SUM(H80:H88)</f>
        <v>1138</v>
      </c>
      <c r="I89" s="87"/>
      <c r="J89" s="88"/>
      <c r="K89" s="88"/>
      <c r="L89" s="88"/>
    </row>
    <row r="90" s="20" customFormat="1" ht="18" customHeight="1" spans="1:12">
      <c r="A90" s="108" t="s">
        <v>86</v>
      </c>
      <c r="B90" s="109" t="s">
        <v>87</v>
      </c>
      <c r="C90" s="68"/>
      <c r="D90" s="68"/>
      <c r="E90" s="68"/>
      <c r="F90" s="68"/>
      <c r="G90" s="68"/>
      <c r="H90" s="68"/>
      <c r="I90" s="69"/>
      <c r="J90" s="77"/>
      <c r="K90" s="77"/>
      <c r="L90" s="77"/>
    </row>
    <row r="91" s="21" customFormat="1" ht="15" customHeight="1" spans="1:12">
      <c r="A91" s="110">
        <v>1</v>
      </c>
      <c r="B91" s="111" t="s">
        <v>14</v>
      </c>
      <c r="C91" s="112">
        <v>0</v>
      </c>
      <c r="D91" s="112" t="s">
        <v>15</v>
      </c>
      <c r="E91" s="112">
        <v>70</v>
      </c>
      <c r="F91" s="112">
        <f t="shared" ref="F91:F96" si="20">C91*E91</f>
        <v>0</v>
      </c>
      <c r="G91" s="113">
        <v>25</v>
      </c>
      <c r="H91" s="112">
        <f>SUM(G91*C91)</f>
        <v>0</v>
      </c>
      <c r="I91" s="114" t="s">
        <v>16</v>
      </c>
      <c r="J91" s="115"/>
      <c r="K91" s="115"/>
      <c r="L91" s="115"/>
    </row>
    <row r="92" s="22" customFormat="1" ht="17" customHeight="1" spans="1:12">
      <c r="A92" s="62">
        <v>2</v>
      </c>
      <c r="B92" s="116" t="s">
        <v>17</v>
      </c>
      <c r="C92" s="62">
        <v>2.5</v>
      </c>
      <c r="D92" s="60" t="s">
        <v>18</v>
      </c>
      <c r="E92" s="62">
        <v>95</v>
      </c>
      <c r="F92" s="60">
        <f t="shared" si="20"/>
        <v>237.5</v>
      </c>
      <c r="G92" s="62">
        <v>55</v>
      </c>
      <c r="H92" s="60">
        <f>SUM(G92*C92)</f>
        <v>137.5</v>
      </c>
      <c r="I92" s="61" t="s">
        <v>19</v>
      </c>
    </row>
    <row r="93" s="23" customFormat="1" ht="24" customHeight="1" spans="1:12">
      <c r="A93" s="66">
        <v>2</v>
      </c>
      <c r="B93" s="117" t="s">
        <v>80</v>
      </c>
      <c r="C93" s="72">
        <v>13</v>
      </c>
      <c r="D93" s="72" t="s">
        <v>21</v>
      </c>
      <c r="E93" s="72">
        <v>26</v>
      </c>
      <c r="F93" s="72">
        <f t="shared" si="20"/>
        <v>338</v>
      </c>
      <c r="G93" s="72">
        <v>20</v>
      </c>
      <c r="H93" s="72">
        <f>SUM(G93*C93)</f>
        <v>260</v>
      </c>
      <c r="I93" s="73" t="s">
        <v>81</v>
      </c>
      <c r="J93" s="118"/>
      <c r="K93" s="118"/>
      <c r="L93" s="118"/>
    </row>
    <row r="94" s="20" customFormat="1" ht="26" customHeight="1" spans="1:12">
      <c r="A94" s="72">
        <v>3</v>
      </c>
      <c r="B94" s="70" t="s">
        <v>20</v>
      </c>
      <c r="C94" s="71">
        <v>18</v>
      </c>
      <c r="D94" s="72" t="s">
        <v>21</v>
      </c>
      <c r="E94" s="72">
        <v>125</v>
      </c>
      <c r="F94" s="72">
        <f t="shared" si="20"/>
        <v>2250</v>
      </c>
      <c r="G94" s="72">
        <v>65</v>
      </c>
      <c r="H94" s="72">
        <f>SUM(G94*C94)</f>
        <v>1170</v>
      </c>
      <c r="I94" s="73" t="s">
        <v>22</v>
      </c>
      <c r="J94" s="10"/>
      <c r="K94" s="10"/>
      <c r="L94" s="10"/>
    </row>
    <row r="95" s="20" customFormat="1" ht="16.5" customHeight="1" spans="1:12">
      <c r="A95" s="66">
        <v>4</v>
      </c>
      <c r="B95" s="76" t="s">
        <v>24</v>
      </c>
      <c r="C95" s="68">
        <v>11</v>
      </c>
      <c r="D95" s="68" t="s">
        <v>25</v>
      </c>
      <c r="E95" s="68">
        <v>38</v>
      </c>
      <c r="F95" s="68">
        <f t="shared" si="20"/>
        <v>418</v>
      </c>
      <c r="G95" s="68">
        <v>22</v>
      </c>
      <c r="H95" s="68">
        <f>C95*G95</f>
        <v>242</v>
      </c>
      <c r="I95" s="69" t="s">
        <v>26</v>
      </c>
      <c r="J95" s="77"/>
      <c r="K95" s="77"/>
      <c r="L95" s="77"/>
    </row>
    <row r="96" s="10" customFormat="1" ht="16.5" customHeight="1" spans="1:12">
      <c r="A96" s="66">
        <v>34</v>
      </c>
      <c r="B96" s="76" t="s">
        <v>27</v>
      </c>
      <c r="C96" s="68">
        <v>6.2</v>
      </c>
      <c r="D96" s="68" t="s">
        <v>25</v>
      </c>
      <c r="E96" s="68">
        <v>32</v>
      </c>
      <c r="F96" s="68">
        <f t="shared" si="20"/>
        <v>198.4</v>
      </c>
      <c r="G96" s="68">
        <v>22</v>
      </c>
      <c r="H96" s="68">
        <f>C96*G96</f>
        <v>136.4</v>
      </c>
      <c r="I96" s="69" t="s">
        <v>26</v>
      </c>
      <c r="J96" s="77"/>
      <c r="K96" s="77"/>
      <c r="L96" s="77"/>
    </row>
    <row r="97" s="13" customFormat="1" ht="14" customHeight="1" spans="1:12">
      <c r="A97" s="72">
        <v>2</v>
      </c>
      <c r="B97" s="76" t="s">
        <v>35</v>
      </c>
      <c r="C97" s="68"/>
      <c r="D97" s="68" t="s">
        <v>18</v>
      </c>
      <c r="E97" s="68"/>
      <c r="F97" s="68">
        <f t="shared" ref="F97:F102" si="21">C97*E97</f>
        <v>0</v>
      </c>
      <c r="G97" s="68">
        <v>2.5</v>
      </c>
      <c r="H97" s="68">
        <f t="shared" ref="H97:H102" si="22">SUM(G97*C97)</f>
        <v>0</v>
      </c>
      <c r="I97" s="69" t="s">
        <v>63</v>
      </c>
      <c r="J97" s="77"/>
      <c r="K97" s="77"/>
      <c r="L97" s="77"/>
    </row>
    <row r="98" s="20" customFormat="1" ht="15.75" customHeight="1" spans="1:12">
      <c r="A98" s="72">
        <v>3</v>
      </c>
      <c r="B98" s="76" t="s">
        <v>76</v>
      </c>
      <c r="C98" s="68">
        <v>0</v>
      </c>
      <c r="D98" s="68" t="s">
        <v>15</v>
      </c>
      <c r="E98" s="68">
        <v>65</v>
      </c>
      <c r="F98" s="68">
        <f t="shared" si="21"/>
        <v>0</v>
      </c>
      <c r="G98" s="68">
        <v>85</v>
      </c>
      <c r="H98" s="68">
        <f t="shared" si="22"/>
        <v>0</v>
      </c>
      <c r="I98" s="69" t="s">
        <v>77</v>
      </c>
      <c r="J98" s="77"/>
      <c r="K98" s="77"/>
      <c r="L98" s="77"/>
    </row>
    <row r="99" s="20" customFormat="1" ht="16.5" customHeight="1" spans="1:12">
      <c r="A99" s="72">
        <v>4</v>
      </c>
      <c r="B99" s="76" t="s">
        <v>40</v>
      </c>
      <c r="C99" s="68">
        <v>54</v>
      </c>
      <c r="D99" s="66" t="s">
        <v>38</v>
      </c>
      <c r="E99" s="68">
        <v>2</v>
      </c>
      <c r="F99" s="68">
        <f t="shared" si="21"/>
        <v>108</v>
      </c>
      <c r="G99" s="68">
        <v>4</v>
      </c>
      <c r="H99" s="68">
        <f t="shared" si="22"/>
        <v>216</v>
      </c>
      <c r="I99" s="69" t="s">
        <v>41</v>
      </c>
      <c r="J99" s="77"/>
      <c r="K99" s="77"/>
      <c r="L99" s="77"/>
    </row>
    <row r="100" s="20" customFormat="1" ht="26.25" customHeight="1" spans="1:12">
      <c r="A100" s="72">
        <v>5</v>
      </c>
      <c r="B100" s="76" t="s">
        <v>42</v>
      </c>
      <c r="C100" s="68">
        <v>54</v>
      </c>
      <c r="D100" s="68" t="s">
        <v>18</v>
      </c>
      <c r="E100" s="68">
        <v>19</v>
      </c>
      <c r="F100" s="68">
        <f t="shared" si="21"/>
        <v>1026</v>
      </c>
      <c r="G100" s="68">
        <v>13</v>
      </c>
      <c r="H100" s="68">
        <f t="shared" si="22"/>
        <v>702</v>
      </c>
      <c r="I100" s="69" t="s">
        <v>43</v>
      </c>
      <c r="J100" s="77"/>
      <c r="K100" s="77"/>
      <c r="L100" s="77"/>
    </row>
    <row r="101" s="20" customFormat="1" ht="27" customHeight="1" spans="1:12">
      <c r="A101" s="72">
        <v>6</v>
      </c>
      <c r="B101" s="76" t="s">
        <v>44</v>
      </c>
      <c r="C101" s="68">
        <v>0</v>
      </c>
      <c r="D101" s="68" t="s">
        <v>18</v>
      </c>
      <c r="E101" s="68">
        <v>12</v>
      </c>
      <c r="F101" s="68">
        <f t="shared" si="21"/>
        <v>0</v>
      </c>
      <c r="G101" s="68">
        <v>7</v>
      </c>
      <c r="H101" s="68">
        <f t="shared" si="22"/>
        <v>0</v>
      </c>
      <c r="I101" s="69" t="s">
        <v>45</v>
      </c>
      <c r="J101" s="77"/>
      <c r="K101" s="77"/>
      <c r="L101" s="77"/>
    </row>
    <row r="102" s="24" customFormat="1" ht="15" customHeight="1" spans="1:12">
      <c r="A102" s="119">
        <v>7</v>
      </c>
      <c r="B102" s="120" t="s">
        <v>51</v>
      </c>
      <c r="C102" s="119">
        <v>0</v>
      </c>
      <c r="D102" s="119" t="s">
        <v>18</v>
      </c>
      <c r="E102" s="119">
        <v>12</v>
      </c>
      <c r="F102" s="119">
        <f t="shared" si="21"/>
        <v>0</v>
      </c>
      <c r="G102" s="119">
        <v>5</v>
      </c>
      <c r="H102" s="119">
        <f t="shared" si="22"/>
        <v>0</v>
      </c>
      <c r="I102" s="121" t="s">
        <v>52</v>
      </c>
      <c r="J102" s="122"/>
      <c r="K102" s="122"/>
      <c r="L102" s="122"/>
    </row>
    <row r="103" s="14" customFormat="1" ht="18" customHeight="1" spans="1:12">
      <c r="A103" s="85"/>
      <c r="B103" s="86" t="s">
        <v>53</v>
      </c>
      <c r="C103" s="85"/>
      <c r="D103" s="85"/>
      <c r="E103" s="85"/>
      <c r="F103" s="85">
        <f>SUM(F91:F102)</f>
        <v>4575.9</v>
      </c>
      <c r="G103" s="85"/>
      <c r="H103" s="85">
        <f>SUM(H91:H102)</f>
        <v>2863.9</v>
      </c>
      <c r="I103" s="87"/>
      <c r="J103" s="88"/>
      <c r="K103" s="88"/>
      <c r="L103" s="88"/>
    </row>
    <row r="104" s="18" customFormat="1" ht="18" customHeight="1" spans="1:12">
      <c r="A104" s="58" t="s">
        <v>88</v>
      </c>
      <c r="B104" s="59" t="s">
        <v>67</v>
      </c>
      <c r="C104" s="60"/>
      <c r="D104" s="60"/>
      <c r="E104" s="60"/>
      <c r="F104" s="60"/>
      <c r="G104" s="60"/>
      <c r="H104" s="60"/>
      <c r="I104" s="61"/>
      <c r="J104" s="53"/>
      <c r="K104" s="53"/>
      <c r="L104" s="53"/>
    </row>
    <row r="105" s="15" customFormat="1" ht="27" customHeight="1" spans="1:12">
      <c r="A105" s="90">
        <v>1</v>
      </c>
      <c r="B105" s="91" t="s">
        <v>68</v>
      </c>
      <c r="C105" s="90">
        <v>6.3</v>
      </c>
      <c r="D105" s="90" t="s">
        <v>21</v>
      </c>
      <c r="E105" s="90">
        <v>28</v>
      </c>
      <c r="F105" s="90">
        <f t="shared" ref="F105:F116" si="23">C105*E105</f>
        <v>176.4</v>
      </c>
      <c r="G105" s="90">
        <v>32</v>
      </c>
      <c r="H105" s="90">
        <f t="shared" ref="H105:H116" si="24">SUM(G105*C105)</f>
        <v>201.6</v>
      </c>
      <c r="I105" s="92" t="s">
        <v>34</v>
      </c>
      <c r="J105" s="93"/>
      <c r="K105" s="93"/>
      <c r="L105" s="93"/>
    </row>
    <row r="106" s="15" customFormat="1" ht="15" customHeight="1" spans="1:12">
      <c r="A106" s="90">
        <v>2</v>
      </c>
      <c r="B106" s="91" t="s">
        <v>57</v>
      </c>
      <c r="C106" s="90">
        <v>38</v>
      </c>
      <c r="D106" s="90" t="s">
        <v>21</v>
      </c>
      <c r="E106" s="90">
        <v>28</v>
      </c>
      <c r="F106" s="90">
        <f t="shared" si="23"/>
        <v>1064</v>
      </c>
      <c r="G106" s="90">
        <v>40</v>
      </c>
      <c r="H106" s="90">
        <f t="shared" si="24"/>
        <v>1520</v>
      </c>
      <c r="I106" s="92" t="s">
        <v>58</v>
      </c>
      <c r="J106" s="93"/>
      <c r="K106" s="93"/>
      <c r="L106" s="93"/>
    </row>
    <row r="107" s="18" customFormat="1" ht="16" customHeight="1" spans="1:12">
      <c r="A107" s="90">
        <v>3</v>
      </c>
      <c r="B107" s="65" t="s">
        <v>59</v>
      </c>
      <c r="C107" s="60">
        <v>38</v>
      </c>
      <c r="D107" s="60" t="s">
        <v>18</v>
      </c>
      <c r="E107" s="60">
        <v>0</v>
      </c>
      <c r="F107" s="60">
        <f t="shared" si="23"/>
        <v>0</v>
      </c>
      <c r="G107" s="60">
        <v>9</v>
      </c>
      <c r="H107" s="60">
        <f t="shared" si="24"/>
        <v>342</v>
      </c>
      <c r="I107" s="61" t="s">
        <v>60</v>
      </c>
      <c r="J107" s="53"/>
      <c r="K107" s="53"/>
      <c r="L107" s="53"/>
    </row>
    <row r="108" s="16" customFormat="1" ht="15" customHeight="1" spans="1:12">
      <c r="A108" s="90">
        <v>4</v>
      </c>
      <c r="B108" s="65" t="s">
        <v>61</v>
      </c>
      <c r="C108" s="60"/>
      <c r="D108" s="60" t="s">
        <v>15</v>
      </c>
      <c r="E108" s="60">
        <v>8</v>
      </c>
      <c r="F108" s="60">
        <f t="shared" si="23"/>
        <v>0</v>
      </c>
      <c r="G108" s="60">
        <v>20</v>
      </c>
      <c r="H108" s="60">
        <f t="shared" si="24"/>
        <v>0</v>
      </c>
      <c r="I108" s="61" t="s">
        <v>89</v>
      </c>
      <c r="J108" s="95"/>
      <c r="K108" s="95"/>
      <c r="L108" s="95"/>
    </row>
    <row r="109" s="18" customFormat="1" ht="15" customHeight="1" spans="1:12">
      <c r="A109" s="90">
        <v>5</v>
      </c>
      <c r="B109" s="63" t="s">
        <v>35</v>
      </c>
      <c r="C109" s="60"/>
      <c r="D109" s="60" t="s">
        <v>18</v>
      </c>
      <c r="E109" s="60"/>
      <c r="F109" s="60">
        <f t="shared" si="23"/>
        <v>0</v>
      </c>
      <c r="G109" s="60">
        <v>2.5</v>
      </c>
      <c r="H109" s="60">
        <f t="shared" si="24"/>
        <v>0</v>
      </c>
      <c r="I109" s="61" t="s">
        <v>63</v>
      </c>
      <c r="J109" s="53"/>
      <c r="K109" s="53"/>
      <c r="L109" s="53"/>
    </row>
    <row r="110" s="16" customFormat="1" ht="17.25" customHeight="1" spans="1:12">
      <c r="A110" s="60">
        <v>4</v>
      </c>
      <c r="B110" s="116" t="s">
        <v>90</v>
      </c>
      <c r="C110" s="60">
        <v>1.4</v>
      </c>
      <c r="D110" s="62" t="s">
        <v>38</v>
      </c>
      <c r="E110" s="62">
        <v>155</v>
      </c>
      <c r="F110" s="60">
        <f t="shared" si="23"/>
        <v>217</v>
      </c>
      <c r="G110" s="62">
        <v>75</v>
      </c>
      <c r="H110" s="60">
        <f t="shared" si="24"/>
        <v>105</v>
      </c>
      <c r="I110" s="123" t="s">
        <v>91</v>
      </c>
    </row>
    <row r="111" s="22" customFormat="1" ht="26.25" customHeight="1" spans="1:12">
      <c r="A111" s="60">
        <v>5</v>
      </c>
      <c r="B111" s="63" t="s">
        <v>92</v>
      </c>
      <c r="C111" s="60">
        <v>1.4</v>
      </c>
      <c r="D111" s="60" t="s">
        <v>18</v>
      </c>
      <c r="E111" s="60">
        <v>29</v>
      </c>
      <c r="F111" s="60">
        <f t="shared" si="23"/>
        <v>40.6</v>
      </c>
      <c r="G111" s="60">
        <v>13</v>
      </c>
      <c r="H111" s="60">
        <f t="shared" si="24"/>
        <v>18.2</v>
      </c>
      <c r="I111" s="61" t="s">
        <v>93</v>
      </c>
      <c r="J111" s="53"/>
      <c r="K111" s="53"/>
      <c r="L111" s="53"/>
    </row>
    <row r="112" s="22" customFormat="1" ht="16.5" customHeight="1" spans="1:12">
      <c r="A112" s="60">
        <v>6</v>
      </c>
      <c r="B112" s="63" t="s">
        <v>94</v>
      </c>
      <c r="C112" s="60"/>
      <c r="D112" s="60" t="s">
        <v>18</v>
      </c>
      <c r="E112" s="60">
        <v>45</v>
      </c>
      <c r="F112" s="60">
        <f t="shared" si="23"/>
        <v>0</v>
      </c>
      <c r="G112" s="60">
        <v>7</v>
      </c>
      <c r="H112" s="60">
        <f t="shared" si="24"/>
        <v>0</v>
      </c>
      <c r="I112" s="61" t="s">
        <v>95</v>
      </c>
      <c r="J112" s="53"/>
      <c r="K112" s="53"/>
      <c r="L112" s="53"/>
    </row>
    <row r="113" s="18" customFormat="1" ht="15" customHeight="1" spans="1:12">
      <c r="A113" s="90">
        <v>6</v>
      </c>
      <c r="B113" s="63" t="s">
        <v>64</v>
      </c>
      <c r="C113" s="60">
        <v>6.3</v>
      </c>
      <c r="D113" s="60" t="s">
        <v>18</v>
      </c>
      <c r="E113" s="60">
        <v>45</v>
      </c>
      <c r="F113" s="60">
        <f t="shared" si="23"/>
        <v>283.5</v>
      </c>
      <c r="G113" s="60">
        <v>20</v>
      </c>
      <c r="H113" s="60">
        <f t="shared" si="24"/>
        <v>126</v>
      </c>
      <c r="I113" s="61" t="s">
        <v>69</v>
      </c>
      <c r="J113" s="53"/>
      <c r="K113" s="53"/>
      <c r="L113" s="53"/>
    </row>
    <row r="114" s="18" customFormat="1" ht="14.25" customHeight="1" spans="1:12">
      <c r="A114" s="90">
        <v>7</v>
      </c>
      <c r="B114" s="63" t="s">
        <v>70</v>
      </c>
      <c r="C114" s="60">
        <v>6.3</v>
      </c>
      <c r="D114" s="60" t="s">
        <v>18</v>
      </c>
      <c r="E114" s="60">
        <v>22</v>
      </c>
      <c r="F114" s="60">
        <f t="shared" si="23"/>
        <v>138.6</v>
      </c>
      <c r="G114" s="60">
        <v>12</v>
      </c>
      <c r="H114" s="60">
        <f t="shared" si="24"/>
        <v>75.6</v>
      </c>
      <c r="I114" s="61" t="s">
        <v>71</v>
      </c>
      <c r="J114" s="53"/>
      <c r="K114" s="53"/>
      <c r="L114" s="53"/>
    </row>
    <row r="115" s="18" customFormat="1" ht="15" customHeight="1" spans="1:12">
      <c r="A115" s="90">
        <v>8</v>
      </c>
      <c r="B115" s="63" t="s">
        <v>72</v>
      </c>
      <c r="C115" s="60">
        <v>29</v>
      </c>
      <c r="D115" s="60" t="s">
        <v>18</v>
      </c>
      <c r="E115" s="60">
        <v>45</v>
      </c>
      <c r="F115" s="60">
        <f t="shared" si="23"/>
        <v>1305</v>
      </c>
      <c r="G115" s="60">
        <v>20</v>
      </c>
      <c r="H115" s="60">
        <f t="shared" si="24"/>
        <v>580</v>
      </c>
      <c r="I115" s="61" t="s">
        <v>73</v>
      </c>
      <c r="J115" s="53"/>
      <c r="K115" s="53"/>
      <c r="L115" s="53"/>
    </row>
    <row r="116" s="18" customFormat="1" ht="15" customHeight="1" spans="1:12">
      <c r="A116" s="90">
        <v>9</v>
      </c>
      <c r="B116" s="63" t="s">
        <v>51</v>
      </c>
      <c r="C116" s="60">
        <v>6.3</v>
      </c>
      <c r="D116" s="60" t="s">
        <v>18</v>
      </c>
      <c r="E116" s="60">
        <v>12</v>
      </c>
      <c r="F116" s="60">
        <f t="shared" si="23"/>
        <v>75.6</v>
      </c>
      <c r="G116" s="60">
        <v>5</v>
      </c>
      <c r="H116" s="60">
        <f t="shared" si="24"/>
        <v>31.5</v>
      </c>
      <c r="I116" s="61" t="s">
        <v>52</v>
      </c>
      <c r="J116" s="53"/>
      <c r="K116" s="53"/>
      <c r="L116" s="53"/>
    </row>
    <row r="117" s="14" customFormat="1" ht="16.5" customHeight="1" spans="1:12">
      <c r="A117" s="85"/>
      <c r="B117" s="86" t="s">
        <v>53</v>
      </c>
      <c r="C117" s="85"/>
      <c r="D117" s="85"/>
      <c r="E117" s="85"/>
      <c r="F117" s="85">
        <f>SUM(F105:F116)</f>
        <v>3300.7</v>
      </c>
      <c r="G117" s="85"/>
      <c r="H117" s="85">
        <f>SUM(H105:H116)</f>
        <v>2999.9</v>
      </c>
      <c r="I117" s="87"/>
      <c r="J117" s="88"/>
      <c r="K117" s="88"/>
      <c r="L117" s="88"/>
    </row>
    <row r="118" ht="16.5" customHeight="1" spans="1:12">
      <c r="A118" s="58" t="s">
        <v>96</v>
      </c>
      <c r="B118" s="59" t="s">
        <v>97</v>
      </c>
      <c r="C118" s="60"/>
      <c r="D118" s="60"/>
      <c r="E118" s="60"/>
      <c r="F118" s="60"/>
      <c r="G118" s="60"/>
      <c r="H118" s="60"/>
      <c r="I118" s="61"/>
      <c r="J118" s="53"/>
      <c r="K118" s="53"/>
      <c r="L118" s="53"/>
    </row>
    <row r="119" ht="18" customHeight="1" spans="1:12">
      <c r="A119" s="60" t="s">
        <v>98</v>
      </c>
      <c r="B119" s="124" t="s">
        <v>99</v>
      </c>
      <c r="C119" s="125"/>
      <c r="D119" s="125"/>
      <c r="E119" s="126"/>
      <c r="F119" s="60"/>
      <c r="G119" s="60"/>
      <c r="H119" s="60"/>
      <c r="I119" s="61"/>
      <c r="J119" s="53"/>
      <c r="K119" s="53"/>
      <c r="L119" s="53"/>
    </row>
    <row r="120" s="15" customFormat="1" ht="17.25" customHeight="1" spans="1:12">
      <c r="A120" s="90">
        <v>1</v>
      </c>
      <c r="B120" s="91" t="s">
        <v>100</v>
      </c>
      <c r="C120" s="90"/>
      <c r="D120" s="90" t="s">
        <v>15</v>
      </c>
      <c r="E120" s="90">
        <v>14</v>
      </c>
      <c r="F120" s="90"/>
      <c r="G120" s="90">
        <v>12</v>
      </c>
      <c r="H120" s="90"/>
      <c r="I120" s="92" t="s">
        <v>101</v>
      </c>
      <c r="J120" s="93"/>
      <c r="K120" s="93"/>
      <c r="L120" s="93"/>
    </row>
    <row r="121" s="15" customFormat="1" ht="15" customHeight="1" spans="1:12">
      <c r="A121" s="90">
        <v>2</v>
      </c>
      <c r="B121" s="91" t="s">
        <v>102</v>
      </c>
      <c r="C121" s="90"/>
      <c r="D121" s="90" t="s">
        <v>15</v>
      </c>
      <c r="E121" s="90">
        <v>6</v>
      </c>
      <c r="F121" s="90"/>
      <c r="G121" s="90">
        <v>11</v>
      </c>
      <c r="H121" s="90"/>
      <c r="I121" s="92" t="s">
        <v>103</v>
      </c>
      <c r="J121" s="93"/>
      <c r="K121" s="93"/>
      <c r="L121" s="93"/>
    </row>
    <row r="122" s="15" customFormat="1" ht="15" customHeight="1" spans="1:12">
      <c r="A122" s="90">
        <v>3</v>
      </c>
      <c r="B122" s="91" t="s">
        <v>104</v>
      </c>
      <c r="C122" s="90"/>
      <c r="D122" s="90" t="s">
        <v>15</v>
      </c>
      <c r="E122" s="90">
        <v>6</v>
      </c>
      <c r="F122" s="90"/>
      <c r="G122" s="90">
        <v>11</v>
      </c>
      <c r="H122" s="90"/>
      <c r="I122" s="92" t="s">
        <v>105</v>
      </c>
      <c r="J122" s="93"/>
      <c r="K122" s="93"/>
      <c r="L122" s="93"/>
    </row>
    <row r="123" s="15" customFormat="1" ht="15" customHeight="1" spans="1:12">
      <c r="A123" s="90">
        <v>4</v>
      </c>
      <c r="B123" s="91" t="s">
        <v>106</v>
      </c>
      <c r="C123" s="90"/>
      <c r="D123" s="90" t="s">
        <v>15</v>
      </c>
      <c r="E123" s="90">
        <v>6</v>
      </c>
      <c r="F123" s="90"/>
      <c r="G123" s="90">
        <v>11</v>
      </c>
      <c r="H123" s="90"/>
      <c r="I123" s="92" t="s">
        <v>105</v>
      </c>
      <c r="J123" s="93"/>
      <c r="K123" s="93"/>
      <c r="L123" s="93"/>
    </row>
    <row r="124" s="15" customFormat="1" ht="15" customHeight="1" spans="1:12">
      <c r="A124" s="90">
        <v>5</v>
      </c>
      <c r="B124" s="91" t="s">
        <v>107</v>
      </c>
      <c r="C124" s="90"/>
      <c r="D124" s="90" t="s">
        <v>15</v>
      </c>
      <c r="E124" s="90">
        <v>6</v>
      </c>
      <c r="F124" s="90"/>
      <c r="G124" s="90">
        <v>11</v>
      </c>
      <c r="H124" s="90"/>
      <c r="I124" s="92" t="s">
        <v>105</v>
      </c>
      <c r="J124" s="93"/>
      <c r="K124" s="93"/>
      <c r="L124" s="93"/>
    </row>
    <row r="125" ht="15" customHeight="1" spans="1:12">
      <c r="A125" s="60">
        <v>6</v>
      </c>
      <c r="B125" s="63" t="s">
        <v>108</v>
      </c>
      <c r="C125" s="60"/>
      <c r="D125" s="60" t="s">
        <v>15</v>
      </c>
      <c r="E125" s="60">
        <v>10</v>
      </c>
      <c r="F125" s="60"/>
      <c r="G125" s="60">
        <v>6</v>
      </c>
      <c r="H125" s="60"/>
      <c r="I125" s="61" t="s">
        <v>109</v>
      </c>
      <c r="J125" s="53"/>
      <c r="K125" s="53"/>
      <c r="L125" s="53"/>
    </row>
    <row r="126" ht="15" customHeight="1" spans="1:12">
      <c r="A126" s="60">
        <v>7</v>
      </c>
      <c r="B126" s="63" t="s">
        <v>110</v>
      </c>
      <c r="C126" s="60"/>
      <c r="D126" s="60" t="s">
        <v>47</v>
      </c>
      <c r="E126" s="60">
        <v>75</v>
      </c>
      <c r="F126" s="60"/>
      <c r="G126" s="60">
        <v>45</v>
      </c>
      <c r="H126" s="64"/>
      <c r="I126" s="61" t="s">
        <v>111</v>
      </c>
      <c r="J126" s="53"/>
      <c r="K126" s="53"/>
      <c r="L126" s="53"/>
    </row>
    <row r="127" ht="15" customHeight="1" spans="1:12">
      <c r="A127" s="60">
        <v>8</v>
      </c>
      <c r="B127" s="63" t="s">
        <v>112</v>
      </c>
      <c r="C127" s="60"/>
      <c r="D127" s="60" t="s">
        <v>113</v>
      </c>
      <c r="E127" s="60">
        <v>2</v>
      </c>
      <c r="F127" s="60"/>
      <c r="G127" s="60">
        <v>4</v>
      </c>
      <c r="H127" s="60"/>
      <c r="I127" s="61" t="s">
        <v>114</v>
      </c>
      <c r="J127" s="53"/>
      <c r="K127" s="53"/>
      <c r="L127" s="53"/>
    </row>
    <row r="128" s="15" customFormat="1" ht="22.5" customHeight="1" spans="1:12">
      <c r="A128" s="90">
        <v>9</v>
      </c>
      <c r="B128" s="91" t="s">
        <v>115</v>
      </c>
      <c r="C128" s="90"/>
      <c r="D128" s="90" t="s">
        <v>15</v>
      </c>
      <c r="E128" s="90">
        <v>18</v>
      </c>
      <c r="F128" s="90"/>
      <c r="G128" s="90">
        <v>13</v>
      </c>
      <c r="H128" s="90"/>
      <c r="I128" s="127" t="s">
        <v>116</v>
      </c>
      <c r="J128" s="93"/>
      <c r="K128" s="93"/>
      <c r="L128" s="93"/>
    </row>
    <row r="129" s="15" customFormat="1" ht="22.5" customHeight="1" spans="1:12">
      <c r="A129" s="90">
        <v>10</v>
      </c>
      <c r="B129" s="91" t="s">
        <v>117</v>
      </c>
      <c r="C129" s="90"/>
      <c r="D129" s="90" t="s">
        <v>15</v>
      </c>
      <c r="E129" s="90">
        <v>25</v>
      </c>
      <c r="F129" s="90"/>
      <c r="G129" s="90">
        <v>15</v>
      </c>
      <c r="H129" s="128"/>
      <c r="I129" s="127" t="s">
        <v>118</v>
      </c>
      <c r="J129" s="93"/>
      <c r="K129" s="93"/>
      <c r="L129" s="93"/>
    </row>
    <row r="130" s="15" customFormat="1" ht="22.5" customHeight="1" spans="1:12">
      <c r="A130" s="90">
        <v>11</v>
      </c>
      <c r="B130" s="91" t="s">
        <v>119</v>
      </c>
      <c r="C130" s="90"/>
      <c r="D130" s="90" t="s">
        <v>15</v>
      </c>
      <c r="E130" s="90">
        <v>55</v>
      </c>
      <c r="F130" s="90"/>
      <c r="G130" s="90">
        <v>20</v>
      </c>
      <c r="H130" s="128"/>
      <c r="I130" s="127" t="s">
        <v>120</v>
      </c>
      <c r="J130" s="93"/>
      <c r="K130" s="93"/>
      <c r="L130" s="93"/>
    </row>
    <row r="131" ht="15.75" customHeight="1" spans="1:12">
      <c r="A131" s="60">
        <v>12</v>
      </c>
      <c r="B131" s="63" t="s">
        <v>121</v>
      </c>
      <c r="C131" s="60"/>
      <c r="D131" s="60" t="s">
        <v>47</v>
      </c>
      <c r="E131" s="60">
        <v>150</v>
      </c>
      <c r="F131" s="60"/>
      <c r="G131" s="60">
        <v>180</v>
      </c>
      <c r="H131" s="60"/>
      <c r="I131" s="61" t="s">
        <v>122</v>
      </c>
      <c r="J131" s="53"/>
      <c r="K131" s="53"/>
      <c r="L131" s="53"/>
    </row>
    <row r="132" ht="15.75" customHeight="1" spans="1:12">
      <c r="A132" s="60">
        <v>13</v>
      </c>
      <c r="B132" s="63" t="s">
        <v>123</v>
      </c>
      <c r="C132" s="60"/>
      <c r="D132" s="60" t="s">
        <v>47</v>
      </c>
      <c r="E132" s="60">
        <v>240</v>
      </c>
      <c r="F132" s="60"/>
      <c r="G132" s="60">
        <v>160</v>
      </c>
      <c r="H132" s="60"/>
      <c r="I132" s="61" t="s">
        <v>122</v>
      </c>
      <c r="J132" s="53"/>
      <c r="K132" s="53"/>
      <c r="L132" s="53"/>
    </row>
    <row r="133" ht="22.5" customHeight="1" spans="1:12">
      <c r="A133" s="60">
        <v>14</v>
      </c>
      <c r="B133" s="63" t="s">
        <v>124</v>
      </c>
      <c r="C133" s="60"/>
      <c r="D133" s="60" t="s">
        <v>47</v>
      </c>
      <c r="E133" s="60">
        <v>120</v>
      </c>
      <c r="F133" s="60"/>
      <c r="G133" s="60">
        <v>380</v>
      </c>
      <c r="H133" s="60"/>
      <c r="I133" s="61" t="s">
        <v>125</v>
      </c>
      <c r="J133" s="53"/>
      <c r="K133" s="53"/>
      <c r="L133" s="53"/>
    </row>
    <row r="134" s="25" customFormat="1" ht="16.5" customHeight="1" spans="1:12">
      <c r="A134" s="60">
        <v>15</v>
      </c>
      <c r="B134" s="94" t="s">
        <v>126</v>
      </c>
      <c r="C134" s="129"/>
      <c r="D134" s="60" t="s">
        <v>18</v>
      </c>
      <c r="E134" s="129"/>
      <c r="F134" s="60"/>
      <c r="G134" s="60">
        <v>5</v>
      </c>
      <c r="H134" s="64"/>
      <c r="I134" s="130" t="s">
        <v>127</v>
      </c>
      <c r="J134" s="53"/>
      <c r="K134" s="131"/>
      <c r="L134" s="131"/>
    </row>
    <row r="135" s="14" customFormat="1" ht="16.5" customHeight="1" spans="1:12">
      <c r="A135" s="85"/>
      <c r="B135" s="86" t="s">
        <v>53</v>
      </c>
      <c r="C135" s="85"/>
      <c r="D135" s="85"/>
      <c r="E135" s="85"/>
      <c r="F135" s="85"/>
      <c r="G135" s="85"/>
      <c r="H135" s="85"/>
      <c r="I135" s="87"/>
      <c r="J135" s="88"/>
      <c r="K135" s="88"/>
      <c r="L135" s="88"/>
    </row>
    <row r="136" ht="16.5" customHeight="1" spans="1:12">
      <c r="A136" s="60" t="s">
        <v>128</v>
      </c>
      <c r="B136" s="104" t="s">
        <v>129</v>
      </c>
      <c r="C136" s="105"/>
      <c r="D136" s="105"/>
      <c r="E136" s="106"/>
      <c r="F136" s="60"/>
      <c r="G136" s="60"/>
      <c r="H136" s="60"/>
      <c r="I136" s="61"/>
      <c r="J136" s="53"/>
      <c r="K136" s="53"/>
      <c r="L136" s="53"/>
    </row>
    <row r="137" s="15" customFormat="1" ht="24.75" customHeight="1" spans="1:12">
      <c r="A137" s="90">
        <v>1</v>
      </c>
      <c r="B137" s="91" t="s">
        <v>130</v>
      </c>
      <c r="C137" s="90"/>
      <c r="D137" s="90" t="s">
        <v>15</v>
      </c>
      <c r="E137" s="90">
        <v>36</v>
      </c>
      <c r="F137" s="90"/>
      <c r="G137" s="90">
        <v>33</v>
      </c>
      <c r="H137" s="90"/>
      <c r="I137" s="92" t="s">
        <v>131</v>
      </c>
      <c r="J137" s="93"/>
      <c r="K137" s="93"/>
      <c r="L137" s="93"/>
    </row>
    <row r="138" ht="25.5" customHeight="1" spans="1:12">
      <c r="A138" s="60">
        <v>2</v>
      </c>
      <c r="B138" s="63" t="s">
        <v>132</v>
      </c>
      <c r="C138" s="60"/>
      <c r="D138" s="60" t="s">
        <v>15</v>
      </c>
      <c r="E138" s="60">
        <v>38</v>
      </c>
      <c r="F138" s="60"/>
      <c r="G138" s="60">
        <v>40</v>
      </c>
      <c r="H138" s="60"/>
      <c r="I138" s="61" t="s">
        <v>133</v>
      </c>
      <c r="J138" s="53"/>
      <c r="K138" s="53"/>
      <c r="L138" s="53"/>
    </row>
    <row r="139" ht="24.5" customHeight="1" spans="1:12">
      <c r="A139" s="60">
        <v>3</v>
      </c>
      <c r="B139" s="63" t="s">
        <v>134</v>
      </c>
      <c r="C139" s="60"/>
      <c r="D139" s="60" t="s">
        <v>15</v>
      </c>
      <c r="E139" s="60">
        <v>48</v>
      </c>
      <c r="F139" s="60"/>
      <c r="G139" s="60">
        <v>70</v>
      </c>
      <c r="H139" s="60"/>
      <c r="I139" s="61" t="s">
        <v>133</v>
      </c>
      <c r="J139" s="53"/>
      <c r="K139" s="53"/>
      <c r="L139" s="53"/>
    </row>
    <row r="140" ht="15" customHeight="1" spans="1:12">
      <c r="A140" s="60">
        <v>4</v>
      </c>
      <c r="B140" s="63" t="s">
        <v>135</v>
      </c>
      <c r="C140" s="60"/>
      <c r="D140" s="60" t="s">
        <v>15</v>
      </c>
      <c r="E140" s="60">
        <v>20</v>
      </c>
      <c r="F140" s="60"/>
      <c r="G140" s="60">
        <v>15</v>
      </c>
      <c r="H140" s="60"/>
      <c r="I140" s="61" t="s">
        <v>136</v>
      </c>
      <c r="J140" s="53"/>
      <c r="K140" s="53"/>
      <c r="L140" s="53"/>
    </row>
    <row r="141" ht="15" customHeight="1" spans="1:12">
      <c r="A141" s="60">
        <v>5</v>
      </c>
      <c r="B141" s="63" t="s">
        <v>137</v>
      </c>
      <c r="C141" s="60"/>
      <c r="D141" s="60" t="s">
        <v>113</v>
      </c>
      <c r="E141" s="60">
        <v>135</v>
      </c>
      <c r="F141" s="60"/>
      <c r="G141" s="60">
        <v>35</v>
      </c>
      <c r="H141" s="60"/>
      <c r="I141" s="61" t="s">
        <v>138</v>
      </c>
      <c r="J141" s="53"/>
      <c r="K141" s="53"/>
      <c r="L141" s="53"/>
    </row>
    <row r="142" s="14" customFormat="1" ht="17.15" customHeight="1" spans="1:12">
      <c r="A142" s="85"/>
      <c r="B142" s="86" t="s">
        <v>53</v>
      </c>
      <c r="C142" s="85"/>
      <c r="D142" s="85"/>
      <c r="E142" s="85"/>
      <c r="F142" s="85"/>
      <c r="G142" s="85"/>
      <c r="H142" s="85"/>
      <c r="I142" s="87"/>
      <c r="J142" s="88"/>
      <c r="K142" s="88"/>
      <c r="L142" s="88"/>
    </row>
    <row r="143" ht="17.15" customHeight="1" spans="1:12">
      <c r="A143" s="132" t="s">
        <v>139</v>
      </c>
      <c r="B143" s="59" t="s">
        <v>140</v>
      </c>
      <c r="C143" s="60"/>
      <c r="D143" s="60"/>
      <c r="E143" s="60"/>
      <c r="F143" s="60"/>
      <c r="G143" s="60"/>
      <c r="H143" s="60"/>
      <c r="I143" s="61"/>
      <c r="J143" s="53"/>
      <c r="K143" s="53"/>
      <c r="L143" s="53"/>
    </row>
    <row r="144" s="10" customFormat="1" ht="16" customHeight="1" spans="1:12">
      <c r="A144" s="68">
        <v>1</v>
      </c>
      <c r="B144" s="76" t="s">
        <v>141</v>
      </c>
      <c r="C144" s="68">
        <v>5.5</v>
      </c>
      <c r="D144" s="68" t="s">
        <v>15</v>
      </c>
      <c r="E144" s="68">
        <v>22</v>
      </c>
      <c r="F144" s="68">
        <f>C144*E144</f>
        <v>121</v>
      </c>
      <c r="G144" s="68">
        <v>25</v>
      </c>
      <c r="H144" s="68">
        <f>SUM(G144*C144)</f>
        <v>137.5</v>
      </c>
      <c r="I144" s="69" t="s">
        <v>142</v>
      </c>
      <c r="J144" s="77"/>
      <c r="K144" s="77"/>
      <c r="L144" s="77"/>
    </row>
    <row r="145" s="26" customFormat="1" ht="14.25" customHeight="1" spans="1:12">
      <c r="A145" s="68">
        <v>2</v>
      </c>
      <c r="B145" s="76" t="s">
        <v>143</v>
      </c>
      <c r="C145" s="68">
        <f>6+1.3</f>
        <v>7.3</v>
      </c>
      <c r="D145" s="68" t="s">
        <v>18</v>
      </c>
      <c r="E145" s="68">
        <v>160</v>
      </c>
      <c r="F145" s="68">
        <f t="shared" ref="F145:F164" si="25">C145*E145</f>
        <v>1168</v>
      </c>
      <c r="G145" s="68">
        <v>125</v>
      </c>
      <c r="H145" s="68">
        <f t="shared" ref="H145:H172" si="26">SUM(G145*C145)</f>
        <v>912.5</v>
      </c>
      <c r="I145" s="69" t="s">
        <v>144</v>
      </c>
      <c r="J145" s="133"/>
      <c r="K145" s="133"/>
      <c r="L145" s="133"/>
    </row>
    <row r="146" s="10" customFormat="1" ht="14.25" customHeight="1" spans="1:12">
      <c r="A146" s="68">
        <v>3</v>
      </c>
      <c r="B146" s="76" t="s">
        <v>145</v>
      </c>
      <c r="C146" s="68">
        <v>2.6</v>
      </c>
      <c r="D146" s="68" t="s">
        <v>18</v>
      </c>
      <c r="E146" s="68">
        <v>95</v>
      </c>
      <c r="F146" s="68">
        <f t="shared" si="25"/>
        <v>247</v>
      </c>
      <c r="G146" s="68">
        <v>75</v>
      </c>
      <c r="H146" s="68">
        <f t="shared" si="26"/>
        <v>195</v>
      </c>
      <c r="I146" s="69" t="s">
        <v>146</v>
      </c>
      <c r="J146" s="77"/>
      <c r="K146" s="77"/>
      <c r="L146" s="77"/>
    </row>
    <row r="147" s="10" customFormat="1" ht="14.25" customHeight="1" spans="1:12">
      <c r="A147" s="68">
        <v>4</v>
      </c>
      <c r="B147" s="76" t="s">
        <v>147</v>
      </c>
      <c r="C147" s="68">
        <v>5</v>
      </c>
      <c r="D147" s="68" t="s">
        <v>148</v>
      </c>
      <c r="E147" s="68">
        <v>120</v>
      </c>
      <c r="F147" s="68">
        <f t="shared" si="25"/>
        <v>600</v>
      </c>
      <c r="G147" s="68">
        <v>90</v>
      </c>
      <c r="H147" s="68">
        <f t="shared" si="26"/>
        <v>450</v>
      </c>
      <c r="I147" s="69" t="s">
        <v>149</v>
      </c>
      <c r="J147" s="77"/>
      <c r="K147" s="77"/>
      <c r="L147" s="77"/>
    </row>
    <row r="148" s="10" customFormat="1" ht="14.25" customHeight="1" spans="1:12">
      <c r="A148" s="68">
        <v>5</v>
      </c>
      <c r="B148" s="76" t="s">
        <v>150</v>
      </c>
      <c r="C148" s="68">
        <v>0</v>
      </c>
      <c r="D148" s="68" t="s">
        <v>148</v>
      </c>
      <c r="E148" s="68">
        <v>150</v>
      </c>
      <c r="F148" s="68">
        <f t="shared" si="25"/>
        <v>0</v>
      </c>
      <c r="G148" s="68">
        <v>100</v>
      </c>
      <c r="H148" s="68">
        <f t="shared" si="26"/>
        <v>0</v>
      </c>
      <c r="I148" s="69" t="s">
        <v>149</v>
      </c>
      <c r="J148" s="77"/>
      <c r="K148" s="77"/>
      <c r="L148" s="77"/>
    </row>
    <row r="149" s="10" customFormat="1" ht="14.25" customHeight="1" spans="1:12">
      <c r="A149" s="68">
        <v>8</v>
      </c>
      <c r="B149" s="76" t="s">
        <v>151</v>
      </c>
      <c r="C149" s="68">
        <v>1</v>
      </c>
      <c r="D149" s="68" t="s">
        <v>47</v>
      </c>
      <c r="E149" s="68">
        <v>260</v>
      </c>
      <c r="F149" s="68">
        <f t="shared" si="25"/>
        <v>260</v>
      </c>
      <c r="G149" s="68">
        <v>820</v>
      </c>
      <c r="H149" s="68">
        <f t="shared" si="26"/>
        <v>820</v>
      </c>
      <c r="I149" s="69" t="s">
        <v>152</v>
      </c>
      <c r="J149" s="77"/>
      <c r="K149" s="77"/>
      <c r="L149" s="77"/>
    </row>
    <row r="150" s="10" customFormat="1" ht="14.25" customHeight="1" spans="1:12">
      <c r="A150" s="68">
        <v>7</v>
      </c>
      <c r="B150" s="76" t="s">
        <v>153</v>
      </c>
      <c r="C150" s="68">
        <v>4</v>
      </c>
      <c r="D150" s="68" t="s">
        <v>47</v>
      </c>
      <c r="E150" s="68">
        <v>10</v>
      </c>
      <c r="F150" s="68">
        <f t="shared" si="25"/>
        <v>40</v>
      </c>
      <c r="G150" s="68">
        <v>15</v>
      </c>
      <c r="H150" s="68">
        <f t="shared" si="26"/>
        <v>60</v>
      </c>
      <c r="I150" s="69" t="s">
        <v>154</v>
      </c>
      <c r="J150" s="77"/>
      <c r="K150" s="77"/>
      <c r="L150" s="77"/>
    </row>
    <row r="151" s="27" customFormat="1" ht="14.25" customHeight="1" spans="1:12">
      <c r="A151" s="68">
        <v>8</v>
      </c>
      <c r="B151" s="76" t="s">
        <v>155</v>
      </c>
      <c r="C151" s="68">
        <v>1</v>
      </c>
      <c r="D151" s="68" t="s">
        <v>47</v>
      </c>
      <c r="E151" s="68">
        <v>280</v>
      </c>
      <c r="F151" s="68">
        <f t="shared" si="25"/>
        <v>280</v>
      </c>
      <c r="G151" s="68">
        <v>380</v>
      </c>
      <c r="H151" s="68">
        <f t="shared" si="26"/>
        <v>380</v>
      </c>
      <c r="I151" s="69" t="s">
        <v>156</v>
      </c>
      <c r="J151" s="134"/>
      <c r="K151" s="134"/>
      <c r="L151" s="134"/>
    </row>
    <row r="152" s="27" customFormat="1" ht="14.25" customHeight="1" spans="1:12">
      <c r="A152" s="68">
        <v>9</v>
      </c>
      <c r="B152" s="76" t="s">
        <v>157</v>
      </c>
      <c r="C152" s="68">
        <v>7</v>
      </c>
      <c r="D152" s="68" t="s">
        <v>47</v>
      </c>
      <c r="E152" s="68">
        <v>105</v>
      </c>
      <c r="F152" s="68">
        <f t="shared" si="25"/>
        <v>735</v>
      </c>
      <c r="G152" s="68">
        <v>70</v>
      </c>
      <c r="H152" s="68">
        <f t="shared" si="26"/>
        <v>490</v>
      </c>
      <c r="I152" s="69" t="s">
        <v>158</v>
      </c>
      <c r="J152" s="134"/>
      <c r="K152" s="134"/>
      <c r="L152" s="134"/>
    </row>
    <row r="153" s="28" customFormat="1" ht="15" customHeight="1" spans="1:12">
      <c r="A153" s="68">
        <v>10</v>
      </c>
      <c r="B153" s="76" t="s">
        <v>159</v>
      </c>
      <c r="C153" s="72">
        <v>2</v>
      </c>
      <c r="D153" s="72" t="s">
        <v>47</v>
      </c>
      <c r="E153" s="68">
        <v>25</v>
      </c>
      <c r="F153" s="68">
        <f t="shared" si="25"/>
        <v>50</v>
      </c>
      <c r="G153" s="135">
        <v>45</v>
      </c>
      <c r="H153" s="68">
        <f t="shared" si="26"/>
        <v>90</v>
      </c>
      <c r="I153" s="69" t="s">
        <v>160</v>
      </c>
      <c r="J153" s="83"/>
      <c r="K153" s="83"/>
      <c r="L153" s="83"/>
    </row>
    <row r="154" s="28" customFormat="1" ht="15" customHeight="1" spans="1:12">
      <c r="A154" s="68">
        <v>11</v>
      </c>
      <c r="B154" s="76" t="s">
        <v>161</v>
      </c>
      <c r="C154" s="68">
        <v>2</v>
      </c>
      <c r="D154" s="68" t="s">
        <v>47</v>
      </c>
      <c r="E154" s="68">
        <v>45</v>
      </c>
      <c r="F154" s="68">
        <f t="shared" si="25"/>
        <v>90</v>
      </c>
      <c r="G154" s="68">
        <v>90</v>
      </c>
      <c r="H154" s="68">
        <f t="shared" si="26"/>
        <v>180</v>
      </c>
      <c r="I154" s="69" t="s">
        <v>162</v>
      </c>
      <c r="J154" s="77"/>
      <c r="K154" s="77"/>
      <c r="L154" s="77"/>
    </row>
    <row r="155" s="20" customFormat="1" ht="14.15" customHeight="1" spans="1:12">
      <c r="A155" s="68">
        <v>12</v>
      </c>
      <c r="B155" s="76" t="s">
        <v>163</v>
      </c>
      <c r="C155" s="68">
        <f>3.2</f>
        <v>3.2</v>
      </c>
      <c r="D155" s="72" t="s">
        <v>15</v>
      </c>
      <c r="E155" s="68">
        <v>65</v>
      </c>
      <c r="F155" s="68">
        <f t="shared" si="25"/>
        <v>208</v>
      </c>
      <c r="G155" s="68">
        <v>100</v>
      </c>
      <c r="H155" s="68">
        <f t="shared" si="26"/>
        <v>320</v>
      </c>
      <c r="I155" s="69" t="s">
        <v>164</v>
      </c>
      <c r="J155" s="29"/>
      <c r="K155" s="29"/>
      <c r="L155" s="29"/>
    </row>
    <row r="156" s="20" customFormat="1" ht="15" customHeight="1" spans="1:12">
      <c r="A156" s="68">
        <v>13</v>
      </c>
      <c r="B156" s="76" t="s">
        <v>165</v>
      </c>
      <c r="C156" s="68">
        <v>0</v>
      </c>
      <c r="D156" s="72" t="s">
        <v>47</v>
      </c>
      <c r="E156" s="68">
        <v>180</v>
      </c>
      <c r="F156" s="68">
        <f t="shared" si="25"/>
        <v>0</v>
      </c>
      <c r="G156" s="68">
        <v>320</v>
      </c>
      <c r="H156" s="68">
        <f t="shared" si="26"/>
        <v>0</v>
      </c>
      <c r="I156" s="69" t="s">
        <v>166</v>
      </c>
      <c r="J156" s="77"/>
      <c r="K156" s="77"/>
      <c r="L156" s="77"/>
    </row>
    <row r="157" s="26" customFormat="1" ht="15.75" customHeight="1" spans="1:12">
      <c r="A157" s="68">
        <v>14</v>
      </c>
      <c r="B157" s="76" t="s">
        <v>167</v>
      </c>
      <c r="C157" s="68">
        <v>0</v>
      </c>
      <c r="D157" s="72" t="s">
        <v>168</v>
      </c>
      <c r="E157" s="68">
        <v>4</v>
      </c>
      <c r="F157" s="68">
        <f t="shared" si="25"/>
        <v>0</v>
      </c>
      <c r="G157" s="68">
        <v>2.5</v>
      </c>
      <c r="H157" s="68">
        <f t="shared" si="26"/>
        <v>0</v>
      </c>
      <c r="I157" s="69" t="s">
        <v>169</v>
      </c>
    </row>
    <row r="158" s="26" customFormat="1" ht="15.75" customHeight="1" spans="1:12">
      <c r="A158" s="68">
        <v>15</v>
      </c>
      <c r="B158" s="76" t="s">
        <v>170</v>
      </c>
      <c r="C158" s="68">
        <v>0</v>
      </c>
      <c r="D158" s="72" t="s">
        <v>15</v>
      </c>
      <c r="E158" s="68">
        <v>25</v>
      </c>
      <c r="F158" s="68">
        <f t="shared" si="25"/>
        <v>0</v>
      </c>
      <c r="G158" s="68">
        <v>48</v>
      </c>
      <c r="H158" s="68">
        <f t="shared" si="26"/>
        <v>0</v>
      </c>
      <c r="I158" s="69" t="s">
        <v>171</v>
      </c>
    </row>
    <row r="159" s="20" customFormat="1" ht="15" customHeight="1" spans="1:12">
      <c r="A159" s="68">
        <v>16</v>
      </c>
      <c r="B159" s="76" t="s">
        <v>172</v>
      </c>
      <c r="C159" s="68">
        <v>1</v>
      </c>
      <c r="D159" s="68" t="s">
        <v>47</v>
      </c>
      <c r="E159" s="68">
        <v>160</v>
      </c>
      <c r="F159" s="68">
        <f t="shared" si="25"/>
        <v>160</v>
      </c>
      <c r="G159" s="68">
        <v>125</v>
      </c>
      <c r="H159" s="68">
        <f t="shared" si="26"/>
        <v>125</v>
      </c>
      <c r="I159" s="69" t="s">
        <v>173</v>
      </c>
      <c r="J159" s="77"/>
      <c r="K159" s="77"/>
      <c r="L159" s="77"/>
    </row>
    <row r="160" s="10" customFormat="1" ht="14.25" customHeight="1" spans="1:12">
      <c r="A160" s="68">
        <v>17</v>
      </c>
      <c r="B160" s="76" t="s">
        <v>174</v>
      </c>
      <c r="C160" s="68">
        <v>56</v>
      </c>
      <c r="D160" s="68" t="s">
        <v>18</v>
      </c>
      <c r="E160" s="68">
        <v>0</v>
      </c>
      <c r="F160" s="68">
        <f t="shared" si="25"/>
        <v>0</v>
      </c>
      <c r="G160" s="68">
        <v>75</v>
      </c>
      <c r="H160" s="68">
        <f t="shared" si="26"/>
        <v>4200</v>
      </c>
      <c r="I160" s="69" t="s">
        <v>175</v>
      </c>
      <c r="J160" s="77"/>
      <c r="K160" s="77"/>
      <c r="L160" s="77"/>
    </row>
    <row r="161" s="10" customFormat="1" ht="15" customHeight="1" spans="1:12">
      <c r="A161" s="68">
        <v>21</v>
      </c>
      <c r="B161" s="67" t="s">
        <v>176</v>
      </c>
      <c r="C161" s="68">
        <v>2.3</v>
      </c>
      <c r="D161" s="66" t="s">
        <v>38</v>
      </c>
      <c r="E161" s="66"/>
      <c r="F161" s="68">
        <f t="shared" si="25"/>
        <v>0</v>
      </c>
      <c r="G161" s="68">
        <v>240</v>
      </c>
      <c r="H161" s="68">
        <f t="shared" si="26"/>
        <v>552</v>
      </c>
      <c r="I161" s="69" t="s">
        <v>177</v>
      </c>
    </row>
    <row r="162" s="10" customFormat="1" ht="12" customHeight="1" spans="1:12">
      <c r="A162" s="68">
        <v>18</v>
      </c>
      <c r="B162" s="136" t="s">
        <v>178</v>
      </c>
      <c r="C162" s="137">
        <v>8.9</v>
      </c>
      <c r="D162" s="137" t="s">
        <v>38</v>
      </c>
      <c r="E162" s="138"/>
      <c r="F162" s="139">
        <v>0</v>
      </c>
      <c r="G162" s="137">
        <v>45</v>
      </c>
      <c r="H162" s="68">
        <f t="shared" si="26"/>
        <v>400.5</v>
      </c>
      <c r="I162" s="140" t="s">
        <v>177</v>
      </c>
      <c r="J162" s="141"/>
      <c r="K162" s="141"/>
      <c r="L162" s="141"/>
    </row>
    <row r="163" s="10" customFormat="1" ht="14.25" customHeight="1" spans="1:12">
      <c r="A163" s="68">
        <v>19</v>
      </c>
      <c r="B163" s="136" t="s">
        <v>179</v>
      </c>
      <c r="C163" s="137">
        <v>0</v>
      </c>
      <c r="D163" s="137" t="s">
        <v>38</v>
      </c>
      <c r="E163" s="138"/>
      <c r="F163" s="139">
        <v>0</v>
      </c>
      <c r="G163" s="137">
        <v>16</v>
      </c>
      <c r="H163" s="68">
        <f t="shared" si="26"/>
        <v>0</v>
      </c>
      <c r="I163" s="140" t="s">
        <v>177</v>
      </c>
      <c r="J163" s="141"/>
      <c r="K163" s="141"/>
      <c r="L163" s="141"/>
    </row>
    <row r="164" s="26" customFormat="1" customHeight="1" spans="1:12">
      <c r="A164" s="68">
        <v>20</v>
      </c>
      <c r="B164" s="142" t="s">
        <v>180</v>
      </c>
      <c r="C164" s="68">
        <f>29+27</f>
        <v>56</v>
      </c>
      <c r="D164" s="68" t="s">
        <v>18</v>
      </c>
      <c r="E164" s="143">
        <v>0</v>
      </c>
      <c r="F164" s="68">
        <f t="shared" ref="F164:F166" si="27">C164*E164</f>
        <v>0</v>
      </c>
      <c r="G164" s="143">
        <v>30</v>
      </c>
      <c r="H164" s="68">
        <f t="shared" si="26"/>
        <v>1680</v>
      </c>
      <c r="I164" s="144" t="s">
        <v>181</v>
      </c>
      <c r="J164" s="145"/>
      <c r="K164" s="145"/>
      <c r="L164" s="145"/>
    </row>
    <row r="165" s="10" customFormat="1" ht="24" customHeight="1" spans="1:12">
      <c r="A165" s="68">
        <v>23</v>
      </c>
      <c r="B165" s="67" t="s">
        <v>182</v>
      </c>
      <c r="C165" s="66">
        <v>0</v>
      </c>
      <c r="D165" s="66" t="s">
        <v>38</v>
      </c>
      <c r="E165" s="66">
        <v>155</v>
      </c>
      <c r="F165" s="68">
        <f t="shared" si="27"/>
        <v>0</v>
      </c>
      <c r="G165" s="146">
        <v>105</v>
      </c>
      <c r="H165" s="68">
        <f t="shared" si="26"/>
        <v>0</v>
      </c>
      <c r="I165" s="79" t="s">
        <v>183</v>
      </c>
    </row>
    <row r="166" s="29" customFormat="1" ht="24" customHeight="1" spans="1:12">
      <c r="A166" s="68">
        <v>11</v>
      </c>
      <c r="B166" s="147" t="s">
        <v>184</v>
      </c>
      <c r="C166" s="68">
        <v>1.4</v>
      </c>
      <c r="D166" s="66" t="s">
        <v>38</v>
      </c>
      <c r="E166" s="148">
        <v>505</v>
      </c>
      <c r="F166" s="68">
        <f t="shared" si="27"/>
        <v>707</v>
      </c>
      <c r="G166" s="66">
        <v>295</v>
      </c>
      <c r="H166" s="68">
        <f t="shared" si="26"/>
        <v>413</v>
      </c>
      <c r="I166" s="149" t="s">
        <v>185</v>
      </c>
    </row>
    <row r="167" s="29" customFormat="1" ht="15" customHeight="1" spans="1:12">
      <c r="A167" s="68">
        <v>18</v>
      </c>
      <c r="B167" s="76" t="s">
        <v>186</v>
      </c>
      <c r="C167" s="68">
        <v>0</v>
      </c>
      <c r="D167" s="68" t="s">
        <v>18</v>
      </c>
      <c r="E167" s="68"/>
      <c r="F167" s="68">
        <f t="shared" ref="F167:F172" si="28">C167*E167</f>
        <v>0</v>
      </c>
      <c r="G167" s="68">
        <v>5</v>
      </c>
      <c r="H167" s="68">
        <f t="shared" si="26"/>
        <v>0</v>
      </c>
      <c r="I167" s="69" t="s">
        <v>187</v>
      </c>
    </row>
    <row r="168" s="22" customFormat="1" ht="14.25" customHeight="1" spans="1:12">
      <c r="A168" s="60">
        <v>53</v>
      </c>
      <c r="B168" s="63" t="s">
        <v>188</v>
      </c>
      <c r="C168" s="60">
        <f>3+1.6</f>
        <v>4.6</v>
      </c>
      <c r="D168" s="60" t="s">
        <v>18</v>
      </c>
      <c r="E168" s="60">
        <v>70</v>
      </c>
      <c r="F168" s="60">
        <f t="shared" si="28"/>
        <v>322</v>
      </c>
      <c r="G168" s="60">
        <v>65</v>
      </c>
      <c r="H168" s="60">
        <f t="shared" si="26"/>
        <v>299</v>
      </c>
      <c r="I168" s="61" t="s">
        <v>189</v>
      </c>
      <c r="J168" s="53"/>
      <c r="K168" s="53"/>
      <c r="L168" s="53"/>
    </row>
    <row r="169" s="30" customFormat="1" ht="14.25" customHeight="1" spans="1:12">
      <c r="A169" s="60">
        <v>19</v>
      </c>
      <c r="B169" s="63" t="s">
        <v>190</v>
      </c>
      <c r="C169" s="60">
        <v>18</v>
      </c>
      <c r="D169" s="60" t="s">
        <v>18</v>
      </c>
      <c r="E169" s="60">
        <v>80</v>
      </c>
      <c r="F169" s="60">
        <f t="shared" si="28"/>
        <v>1440</v>
      </c>
      <c r="G169" s="60">
        <v>75</v>
      </c>
      <c r="H169" s="60">
        <f t="shared" si="26"/>
        <v>1350</v>
      </c>
      <c r="I169" s="61" t="s">
        <v>189</v>
      </c>
      <c r="J169" s="53"/>
      <c r="K169" s="53"/>
      <c r="L169" s="53"/>
    </row>
    <row r="170" s="22" customFormat="1" ht="15" customHeight="1" spans="1:12">
      <c r="A170" s="60">
        <v>55</v>
      </c>
      <c r="B170" s="63" t="s">
        <v>191</v>
      </c>
      <c r="C170" s="60">
        <v>16.9</v>
      </c>
      <c r="D170" s="60" t="s">
        <v>18</v>
      </c>
      <c r="E170" s="60">
        <v>90</v>
      </c>
      <c r="F170" s="60">
        <f t="shared" si="28"/>
        <v>1521</v>
      </c>
      <c r="G170" s="60">
        <v>85</v>
      </c>
      <c r="H170" s="60">
        <f t="shared" si="26"/>
        <v>1436.5</v>
      </c>
      <c r="I170" s="61" t="s">
        <v>189</v>
      </c>
      <c r="J170" s="53"/>
      <c r="K170" s="53"/>
      <c r="L170" s="53"/>
    </row>
    <row r="171" ht="14.25" customHeight="1" spans="1:12">
      <c r="A171" s="60">
        <v>20</v>
      </c>
      <c r="B171" s="63" t="s">
        <v>192</v>
      </c>
      <c r="C171" s="60">
        <v>79</v>
      </c>
      <c r="D171" s="60" t="s">
        <v>18</v>
      </c>
      <c r="E171" s="60">
        <v>15</v>
      </c>
      <c r="F171" s="60">
        <f t="shared" si="28"/>
        <v>1185</v>
      </c>
      <c r="G171" s="60">
        <v>13</v>
      </c>
      <c r="H171" s="60">
        <f t="shared" si="26"/>
        <v>1027</v>
      </c>
      <c r="I171" s="61" t="s">
        <v>193</v>
      </c>
      <c r="J171" s="53"/>
      <c r="K171" s="53"/>
      <c r="L171" s="53"/>
    </row>
    <row r="172" s="16" customFormat="1" ht="14.25" customHeight="1" spans="1:12">
      <c r="A172" s="60">
        <v>21</v>
      </c>
      <c r="B172" s="63" t="s">
        <v>194</v>
      </c>
      <c r="C172" s="60">
        <v>125</v>
      </c>
      <c r="D172" s="60" t="s">
        <v>18</v>
      </c>
      <c r="E172" s="60">
        <v>2</v>
      </c>
      <c r="F172" s="60">
        <f t="shared" si="28"/>
        <v>250</v>
      </c>
      <c r="G172" s="60">
        <v>6</v>
      </c>
      <c r="H172" s="60">
        <f t="shared" si="26"/>
        <v>750</v>
      </c>
      <c r="I172" s="61" t="s">
        <v>195</v>
      </c>
      <c r="J172" s="95"/>
      <c r="K172" s="95"/>
      <c r="L172" s="95"/>
    </row>
    <row r="173" s="14" customFormat="1" ht="17.25" customHeight="1" spans="1:12">
      <c r="A173" s="85"/>
      <c r="B173" s="86" t="s">
        <v>53</v>
      </c>
      <c r="C173" s="85"/>
      <c r="D173" s="85"/>
      <c r="E173" s="85"/>
      <c r="F173" s="85">
        <f>SUM(F144:F172)</f>
        <v>9384</v>
      </c>
      <c r="G173" s="85"/>
      <c r="H173" s="85">
        <f>SUM(H144:H172)</f>
        <v>16268</v>
      </c>
      <c r="I173" s="87"/>
      <c r="J173" s="88"/>
      <c r="K173" s="88"/>
      <c r="L173" s="88"/>
    </row>
    <row r="174" ht="17.25" customHeight="1" spans="1:12">
      <c r="A174" s="60"/>
      <c r="B174" s="89" t="s">
        <v>196</v>
      </c>
      <c r="C174" s="60"/>
      <c r="D174" s="60"/>
      <c r="E174" s="60"/>
      <c r="F174" s="150">
        <f>F173+F89+F78+F67+F46+F35+F26+F103+F57+F117</f>
        <v>43407.35</v>
      </c>
      <c r="G174" s="150"/>
      <c r="H174" s="150">
        <f>H173+H89+H78+H67+H46+H35+H26+H103+H57+H117</f>
        <v>43462.5</v>
      </c>
      <c r="I174" s="61"/>
      <c r="J174" s="53"/>
      <c r="K174" s="53"/>
      <c r="L174" s="53"/>
    </row>
    <row r="175" s="14" customFormat="1" ht="17.25" customHeight="1" spans="1:12">
      <c r="A175" s="85"/>
      <c r="B175" s="86" t="s">
        <v>197</v>
      </c>
      <c r="C175" s="85"/>
      <c r="D175" s="85"/>
      <c r="E175" s="85"/>
      <c r="F175" s="85"/>
      <c r="G175" s="85"/>
      <c r="H175" s="151">
        <f>F174+H174</f>
        <v>86869.85</v>
      </c>
      <c r="I175" s="152"/>
      <c r="J175" s="88"/>
      <c r="K175" s="88"/>
      <c r="L175" s="88"/>
    </row>
    <row r="176" s="31" customFormat="1" ht="18" customHeight="1" spans="1:12">
      <c r="A176" s="153"/>
      <c r="B176" s="154" t="s">
        <v>198</v>
      </c>
      <c r="C176" s="155"/>
      <c r="D176" s="155"/>
      <c r="E176" s="155"/>
      <c r="F176" s="155"/>
      <c r="G176" s="155"/>
      <c r="H176" s="155"/>
      <c r="I176" s="156"/>
      <c r="J176" s="157"/>
      <c r="K176" s="157"/>
      <c r="L176" s="157"/>
    </row>
    <row r="177" ht="14.25" customHeight="1" spans="1:12">
      <c r="A177" s="60"/>
      <c r="B177" s="158" t="s">
        <v>199</v>
      </c>
      <c r="C177" s="60"/>
      <c r="D177" s="60"/>
      <c r="E177" s="60"/>
      <c r="F177" s="60"/>
      <c r="G177" s="159"/>
      <c r="H177" s="150">
        <f>H175*3.5%</f>
        <v>3040.44475</v>
      </c>
      <c r="I177" s="61" t="s">
        <v>200</v>
      </c>
      <c r="J177" s="53"/>
      <c r="K177" s="53"/>
      <c r="L177" s="53"/>
    </row>
    <row r="178" ht="24" customHeight="1" spans="1:12">
      <c r="A178" s="60"/>
      <c r="B178" s="89" t="s">
        <v>201</v>
      </c>
      <c r="C178" s="60"/>
      <c r="D178" s="60"/>
      <c r="E178" s="60"/>
      <c r="F178" s="60"/>
      <c r="G178" s="159"/>
      <c r="H178" s="150">
        <f>H175*3%</f>
        <v>2606.0955</v>
      </c>
      <c r="I178" s="61" t="s">
        <v>202</v>
      </c>
      <c r="J178" s="53"/>
      <c r="K178" s="53"/>
      <c r="L178" s="53"/>
    </row>
    <row r="179" s="32" customFormat="1" ht="15.75" customHeight="1" spans="1:12">
      <c r="A179" s="60"/>
      <c r="B179" s="89" t="s">
        <v>203</v>
      </c>
      <c r="C179" s="60"/>
      <c r="D179" s="60"/>
      <c r="E179" s="60"/>
      <c r="F179" s="160"/>
      <c r="G179" s="60"/>
      <c r="H179" s="150">
        <f>H175*8%</f>
        <v>6949.588</v>
      </c>
      <c r="I179" s="61" t="s">
        <v>204</v>
      </c>
      <c r="J179" s="161"/>
      <c r="K179" s="162"/>
      <c r="L179" s="162"/>
    </row>
    <row r="180" s="32" customFormat="1" ht="15.75" customHeight="1" spans="1:12">
      <c r="A180" s="60"/>
      <c r="B180" s="89" t="s">
        <v>205</v>
      </c>
      <c r="C180" s="60"/>
      <c r="D180" s="60"/>
      <c r="E180" s="60"/>
      <c r="F180" s="160"/>
      <c r="G180" s="60"/>
      <c r="H180" s="150">
        <f>H175*5%</f>
        <v>4343.4925</v>
      </c>
      <c r="I180" s="61" t="s">
        <v>206</v>
      </c>
      <c r="J180" s="161"/>
      <c r="K180" s="162"/>
      <c r="L180" s="162"/>
    </row>
    <row r="181" s="33" customFormat="1" ht="15.75" customHeight="1" spans="1:12">
      <c r="A181" s="153"/>
      <c r="B181" s="163" t="s">
        <v>207</v>
      </c>
      <c r="C181" s="153"/>
      <c r="D181" s="153"/>
      <c r="E181" s="153"/>
      <c r="F181" s="164"/>
      <c r="G181" s="153"/>
      <c r="H181" s="165">
        <f>H180+H179+H178+H177+H175</f>
        <v>103809.47075</v>
      </c>
      <c r="I181" s="166"/>
      <c r="J181" s="167"/>
      <c r="K181" s="168"/>
      <c r="L181" s="168"/>
    </row>
    <row r="182" s="32" customFormat="1" ht="15" customHeight="1" spans="1:12">
      <c r="A182" s="60"/>
      <c r="B182" s="169" t="s">
        <v>208</v>
      </c>
      <c r="C182" s="170"/>
      <c r="D182" s="170"/>
      <c r="E182" s="170"/>
      <c r="F182" s="170"/>
      <c r="G182" s="170"/>
      <c r="H182" s="171"/>
      <c r="I182" s="172" t="s">
        <v>209</v>
      </c>
      <c r="J182" s="161"/>
      <c r="K182" s="162"/>
      <c r="L182" s="162"/>
    </row>
    <row r="183" s="33" customFormat="1" ht="17.15" customHeight="1" spans="1:12">
      <c r="A183" s="153" t="s">
        <v>12</v>
      </c>
      <c r="B183" s="163" t="s">
        <v>210</v>
      </c>
      <c r="C183" s="153"/>
      <c r="D183" s="153"/>
      <c r="E183" s="153"/>
      <c r="F183" s="164"/>
      <c r="G183" s="153"/>
      <c r="H183" s="164"/>
      <c r="J183" s="167"/>
      <c r="K183" s="168"/>
      <c r="L183" s="168"/>
    </row>
    <row r="184" s="32" customFormat="1" ht="15" customHeight="1" spans="1:12">
      <c r="A184" s="60">
        <v>1</v>
      </c>
      <c r="B184" s="63" t="s">
        <v>211</v>
      </c>
      <c r="C184" s="60"/>
      <c r="D184" s="60" t="s">
        <v>212</v>
      </c>
      <c r="E184" s="64">
        <v>95</v>
      </c>
      <c r="F184" s="60"/>
      <c r="G184" s="64">
        <v>45</v>
      </c>
      <c r="H184" s="64"/>
      <c r="I184" s="61" t="s">
        <v>213</v>
      </c>
      <c r="J184" s="161"/>
      <c r="K184" s="162"/>
      <c r="L184" s="162"/>
    </row>
    <row r="185" ht="15" customHeight="1" spans="1:12">
      <c r="A185" s="60">
        <v>2</v>
      </c>
      <c r="B185" s="63" t="s">
        <v>214</v>
      </c>
      <c r="C185" s="60"/>
      <c r="D185" s="60" t="s">
        <v>47</v>
      </c>
      <c r="E185" s="64">
        <v>2</v>
      </c>
      <c r="F185" s="60"/>
      <c r="G185" s="64">
        <v>6</v>
      </c>
      <c r="H185" s="60"/>
      <c r="I185" s="61" t="s">
        <v>215</v>
      </c>
      <c r="J185" s="53"/>
      <c r="K185" s="53"/>
      <c r="L185" s="53"/>
    </row>
    <row r="186" ht="15" customHeight="1" spans="1:12">
      <c r="A186" s="60">
        <v>3</v>
      </c>
      <c r="B186" s="63" t="s">
        <v>216</v>
      </c>
      <c r="C186" s="60"/>
      <c r="D186" s="60" t="s">
        <v>47</v>
      </c>
      <c r="E186" s="64">
        <v>20</v>
      </c>
      <c r="F186" s="60"/>
      <c r="G186" s="64">
        <v>45</v>
      </c>
      <c r="H186" s="60"/>
      <c r="I186" s="173" t="s">
        <v>217</v>
      </c>
      <c r="J186" s="53"/>
      <c r="K186" s="53"/>
      <c r="L186" s="53"/>
    </row>
    <row r="187" ht="15" customHeight="1" spans="1:12">
      <c r="A187" s="60">
        <v>4</v>
      </c>
      <c r="B187" s="63" t="s">
        <v>218</v>
      </c>
      <c r="C187" s="60"/>
      <c r="D187" s="60" t="s">
        <v>47</v>
      </c>
      <c r="E187" s="64">
        <v>20</v>
      </c>
      <c r="F187" s="60"/>
      <c r="G187" s="64">
        <v>60</v>
      </c>
      <c r="H187" s="60"/>
      <c r="I187" s="173" t="s">
        <v>219</v>
      </c>
      <c r="J187" s="53"/>
      <c r="K187" s="53"/>
      <c r="L187" s="53"/>
    </row>
    <row r="188" ht="15" customHeight="1" spans="1:12">
      <c r="A188" s="60">
        <v>5</v>
      </c>
      <c r="B188" s="63" t="s">
        <v>220</v>
      </c>
      <c r="C188" s="60"/>
      <c r="D188" s="60" t="s">
        <v>47</v>
      </c>
      <c r="E188" s="64">
        <v>20</v>
      </c>
      <c r="F188" s="60"/>
      <c r="G188" s="64">
        <v>85</v>
      </c>
      <c r="H188" s="60"/>
      <c r="I188" s="173" t="s">
        <v>221</v>
      </c>
      <c r="J188" s="53"/>
      <c r="K188" s="53"/>
      <c r="L188" s="53"/>
    </row>
    <row r="189" ht="15" customHeight="1" spans="1:12">
      <c r="A189" s="60">
        <v>6</v>
      </c>
      <c r="B189" s="63" t="s">
        <v>161</v>
      </c>
      <c r="C189" s="60"/>
      <c r="D189" s="60" t="s">
        <v>47</v>
      </c>
      <c r="E189" s="64">
        <v>45</v>
      </c>
      <c r="F189" s="60"/>
      <c r="G189" s="64">
        <v>90</v>
      </c>
      <c r="H189" s="60"/>
      <c r="I189" s="173" t="s">
        <v>162</v>
      </c>
      <c r="J189" s="53"/>
      <c r="K189" s="53"/>
      <c r="L189" s="53"/>
    </row>
    <row r="190" ht="15" customHeight="1" spans="1:12">
      <c r="A190" s="60">
        <v>7</v>
      </c>
      <c r="B190" s="63" t="s">
        <v>222</v>
      </c>
      <c r="C190" s="60"/>
      <c r="D190" s="60" t="s">
        <v>47</v>
      </c>
      <c r="E190" s="64">
        <v>180</v>
      </c>
      <c r="F190" s="60"/>
      <c r="G190" s="64">
        <v>120</v>
      </c>
      <c r="H190" s="64"/>
      <c r="I190" s="65" t="s">
        <v>223</v>
      </c>
      <c r="J190" s="53"/>
      <c r="K190" s="53"/>
      <c r="L190" s="53"/>
    </row>
    <row r="191" ht="15" customHeight="1" spans="1:12">
      <c r="A191" s="60">
        <v>8</v>
      </c>
      <c r="B191" s="63" t="s">
        <v>14</v>
      </c>
      <c r="C191" s="60"/>
      <c r="D191" s="60" t="s">
        <v>15</v>
      </c>
      <c r="E191" s="64">
        <v>70</v>
      </c>
      <c r="F191" s="60"/>
      <c r="G191" s="64">
        <v>25</v>
      </c>
      <c r="H191" s="64"/>
      <c r="I191" s="65" t="s">
        <v>16</v>
      </c>
      <c r="J191" s="53"/>
      <c r="K191" s="53"/>
      <c r="L191" s="53"/>
    </row>
    <row r="192" s="34" customFormat="1" ht="15" customHeight="1" spans="1:12">
      <c r="A192" s="60">
        <v>9</v>
      </c>
      <c r="B192" s="94" t="s">
        <v>224</v>
      </c>
      <c r="C192" s="60"/>
      <c r="D192" s="60" t="s">
        <v>47</v>
      </c>
      <c r="E192" s="129">
        <v>0</v>
      </c>
      <c r="F192" s="60"/>
      <c r="G192" s="60">
        <v>50</v>
      </c>
      <c r="H192" s="60"/>
      <c r="I192" s="174" t="s">
        <v>225</v>
      </c>
      <c r="J192" s="175"/>
      <c r="K192" s="175"/>
      <c r="L192" s="175"/>
    </row>
    <row r="193" s="34" customFormat="1" ht="15" customHeight="1" spans="1:12">
      <c r="A193" s="60">
        <v>10</v>
      </c>
      <c r="B193" s="94" t="s">
        <v>226</v>
      </c>
      <c r="C193" s="60"/>
      <c r="D193" s="60" t="s">
        <v>47</v>
      </c>
      <c r="E193" s="129">
        <v>50</v>
      </c>
      <c r="F193" s="60"/>
      <c r="G193" s="60">
        <v>100</v>
      </c>
      <c r="H193" s="60"/>
      <c r="I193" s="174" t="s">
        <v>227</v>
      </c>
      <c r="J193" s="175"/>
      <c r="K193" s="175"/>
      <c r="L193" s="175"/>
    </row>
    <row r="194" ht="15" customHeight="1" spans="1:12">
      <c r="A194" s="60">
        <v>11</v>
      </c>
      <c r="B194" s="176" t="s">
        <v>228</v>
      </c>
      <c r="C194" s="60"/>
      <c r="D194" s="60" t="s">
        <v>47</v>
      </c>
      <c r="E194" s="64">
        <v>120</v>
      </c>
      <c r="F194" s="60"/>
      <c r="G194" s="64">
        <v>160</v>
      </c>
      <c r="H194" s="64"/>
      <c r="I194" s="65" t="s">
        <v>223</v>
      </c>
      <c r="J194" s="53"/>
      <c r="K194" s="53"/>
      <c r="L194" s="53"/>
    </row>
    <row r="195" s="35" customFormat="1" ht="15" customHeight="1" spans="1:12">
      <c r="A195" s="60">
        <v>12</v>
      </c>
      <c r="B195" s="177" t="s">
        <v>159</v>
      </c>
      <c r="C195" s="90"/>
      <c r="D195" s="90" t="s">
        <v>47</v>
      </c>
      <c r="E195" s="128">
        <v>25</v>
      </c>
      <c r="F195" s="90"/>
      <c r="G195" s="128">
        <v>45</v>
      </c>
      <c r="H195" s="128"/>
      <c r="I195" s="178" t="s">
        <v>160</v>
      </c>
      <c r="J195" s="93"/>
      <c r="K195" s="93"/>
      <c r="L195" s="93"/>
    </row>
    <row r="196" s="19" customFormat="1" ht="14.15" customHeight="1" spans="1:12">
      <c r="A196" s="60">
        <v>13</v>
      </c>
      <c r="B196" s="178" t="s">
        <v>229</v>
      </c>
      <c r="C196" s="90"/>
      <c r="D196" s="90" t="s">
        <v>21</v>
      </c>
      <c r="E196" s="128">
        <v>23</v>
      </c>
      <c r="F196" s="90"/>
      <c r="G196" s="128">
        <v>16</v>
      </c>
      <c r="H196" s="90"/>
      <c r="I196" s="92" t="s">
        <v>230</v>
      </c>
      <c r="J196" s="107"/>
      <c r="K196" s="107"/>
      <c r="L196" s="107"/>
    </row>
    <row r="197" s="16" customFormat="1" ht="14.15" customHeight="1" spans="1:12">
      <c r="A197" s="60">
        <v>14</v>
      </c>
      <c r="B197" s="65" t="s">
        <v>231</v>
      </c>
      <c r="C197" s="60"/>
      <c r="D197" s="60" t="s">
        <v>47</v>
      </c>
      <c r="E197" s="64">
        <v>120</v>
      </c>
      <c r="F197" s="60"/>
      <c r="G197" s="64">
        <v>180</v>
      </c>
      <c r="H197" s="60"/>
      <c r="I197" s="61" t="s">
        <v>232</v>
      </c>
      <c r="J197" s="95"/>
      <c r="K197" s="95"/>
      <c r="L197" s="95"/>
    </row>
    <row r="198" s="16" customFormat="1" ht="14.15" customHeight="1" spans="1:12">
      <c r="A198" s="60">
        <v>15</v>
      </c>
      <c r="B198" s="179" t="s">
        <v>163</v>
      </c>
      <c r="C198" s="180"/>
      <c r="D198" s="180" t="s">
        <v>15</v>
      </c>
      <c r="E198" s="181">
        <v>65</v>
      </c>
      <c r="F198" s="60"/>
      <c r="G198" s="181">
        <v>100</v>
      </c>
      <c r="H198" s="60"/>
      <c r="I198" s="182" t="s">
        <v>164</v>
      </c>
      <c r="J198"/>
      <c r="K198"/>
      <c r="L198"/>
    </row>
    <row r="199" s="36" customFormat="1" ht="15" customHeight="1" spans="1:12">
      <c r="A199" s="60">
        <v>16</v>
      </c>
      <c r="B199" s="183" t="s">
        <v>186</v>
      </c>
      <c r="C199" s="60"/>
      <c r="D199" s="60" t="s">
        <v>18</v>
      </c>
      <c r="E199" s="184"/>
      <c r="F199" s="60"/>
      <c r="G199" s="184">
        <v>5</v>
      </c>
      <c r="H199" s="60"/>
      <c r="I199" s="185" t="s">
        <v>187</v>
      </c>
    </row>
    <row r="200" ht="15" customHeight="1" spans="1:12">
      <c r="A200" s="60">
        <v>17</v>
      </c>
      <c r="B200" s="63" t="s">
        <v>165</v>
      </c>
      <c r="C200" s="60"/>
      <c r="D200" s="60" t="s">
        <v>47</v>
      </c>
      <c r="E200" s="64">
        <v>180</v>
      </c>
      <c r="F200" s="60"/>
      <c r="G200" s="64">
        <v>320</v>
      </c>
      <c r="H200" s="60"/>
      <c r="I200" s="61" t="s">
        <v>166</v>
      </c>
      <c r="J200" s="53"/>
      <c r="K200" s="53"/>
      <c r="L200" s="53"/>
    </row>
    <row r="201" customFormat="1" ht="15" customHeight="1" spans="1:12">
      <c r="A201" s="60">
        <v>18</v>
      </c>
      <c r="B201" s="63" t="s">
        <v>233</v>
      </c>
      <c r="C201" s="60"/>
      <c r="D201" s="60" t="s">
        <v>47</v>
      </c>
      <c r="E201" s="64">
        <v>200</v>
      </c>
      <c r="F201" s="60"/>
      <c r="G201" s="64">
        <v>150</v>
      </c>
      <c r="H201" s="60"/>
      <c r="I201" s="61" t="s">
        <v>234</v>
      </c>
      <c r="J201" s="53"/>
      <c r="K201" s="53"/>
      <c r="L201" s="53"/>
    </row>
    <row r="202" customFormat="1" ht="15" customHeight="1" spans="1:12">
      <c r="A202" s="60">
        <v>19</v>
      </c>
      <c r="B202" s="63" t="s">
        <v>235</v>
      </c>
      <c r="C202" s="60"/>
      <c r="D202" s="60" t="s">
        <v>47</v>
      </c>
      <c r="E202" s="64">
        <v>130</v>
      </c>
      <c r="F202" s="60"/>
      <c r="G202" s="64">
        <v>70</v>
      </c>
      <c r="H202" s="60"/>
      <c r="I202" s="61" t="s">
        <v>236</v>
      </c>
      <c r="J202" s="53"/>
      <c r="K202" s="53"/>
      <c r="L202" s="53"/>
    </row>
    <row r="203" s="30" customFormat="1" ht="15.75" customHeight="1" spans="1:12">
      <c r="A203" s="60">
        <v>20</v>
      </c>
      <c r="B203" s="186" t="s">
        <v>167</v>
      </c>
      <c r="C203" s="60"/>
      <c r="D203" s="180" t="s">
        <v>168</v>
      </c>
      <c r="E203" s="181">
        <v>4</v>
      </c>
      <c r="F203" s="180"/>
      <c r="G203" s="181">
        <v>2.5</v>
      </c>
      <c r="H203" s="60"/>
      <c r="I203" s="182" t="s">
        <v>169</v>
      </c>
    </row>
    <row r="204" s="30" customFormat="1" ht="15.75" customHeight="1" spans="1:12">
      <c r="A204" s="60">
        <v>21</v>
      </c>
      <c r="B204" s="179" t="s">
        <v>170</v>
      </c>
      <c r="C204" s="60"/>
      <c r="D204" s="180" t="s">
        <v>15</v>
      </c>
      <c r="E204" s="181">
        <v>25</v>
      </c>
      <c r="F204" s="60"/>
      <c r="G204" s="181">
        <v>48</v>
      </c>
      <c r="H204" s="60"/>
      <c r="I204" s="182" t="s">
        <v>171</v>
      </c>
    </row>
    <row r="205" ht="15" customHeight="1" spans="1:12">
      <c r="A205" s="60">
        <v>22</v>
      </c>
      <c r="B205" s="176" t="s">
        <v>172</v>
      </c>
      <c r="C205" s="60"/>
      <c r="D205" s="60" t="s">
        <v>47</v>
      </c>
      <c r="E205" s="64">
        <v>160</v>
      </c>
      <c r="F205" s="60"/>
      <c r="G205" s="64">
        <v>125</v>
      </c>
      <c r="H205" s="60"/>
      <c r="I205" s="61" t="s">
        <v>173</v>
      </c>
      <c r="J205" s="53"/>
      <c r="K205" s="53"/>
      <c r="L205" s="53"/>
    </row>
    <row r="206" s="16" customFormat="1" ht="14.15" customHeight="1" spans="1:12">
      <c r="A206" s="60">
        <v>23</v>
      </c>
      <c r="B206" s="179" t="s">
        <v>237</v>
      </c>
      <c r="C206" s="180"/>
      <c r="D206" s="180" t="s">
        <v>15</v>
      </c>
      <c r="E206" s="181"/>
      <c r="F206" s="60">
        <f>C206*E206</f>
        <v>0</v>
      </c>
      <c r="G206" s="181">
        <v>85</v>
      </c>
      <c r="H206" s="60">
        <f>SUM(G206*C206)</f>
        <v>0</v>
      </c>
      <c r="I206" s="61" t="s">
        <v>177</v>
      </c>
      <c r="J206"/>
    </row>
    <row r="207" s="32" customFormat="1" ht="17.15" customHeight="1" spans="1:12">
      <c r="A207" s="60" t="s">
        <v>54</v>
      </c>
      <c r="B207" s="89" t="s">
        <v>238</v>
      </c>
      <c r="C207" s="187"/>
      <c r="D207" s="187"/>
      <c r="E207" s="187"/>
      <c r="F207" s="187"/>
      <c r="G207" s="187"/>
      <c r="H207" s="187"/>
      <c r="I207" s="187"/>
      <c r="J207" s="161"/>
      <c r="K207" s="162"/>
      <c r="L207" s="162"/>
    </row>
    <row r="208" s="32" customFormat="1" ht="27" customHeight="1" spans="1:12">
      <c r="A208" s="60">
        <v>1</v>
      </c>
      <c r="B208" s="188" t="s">
        <v>239</v>
      </c>
      <c r="C208" s="188"/>
      <c r="D208" s="188"/>
      <c r="E208" s="188"/>
      <c r="F208" s="188"/>
      <c r="G208" s="188"/>
      <c r="H208" s="188"/>
      <c r="I208" s="188"/>
      <c r="J208" s="161"/>
      <c r="K208" s="162"/>
      <c r="L208" s="162"/>
    </row>
    <row r="209" s="32" customFormat="1" ht="29" customHeight="1" spans="1:12">
      <c r="A209" s="60">
        <v>2</v>
      </c>
      <c r="B209" s="63" t="s">
        <v>240</v>
      </c>
      <c r="C209" s="63"/>
      <c r="D209" s="63"/>
      <c r="E209" s="63"/>
      <c r="F209" s="63"/>
      <c r="G209" s="63"/>
      <c r="H209" s="63"/>
      <c r="I209" s="63"/>
      <c r="J209" s="161"/>
      <c r="K209" s="162"/>
      <c r="L209" s="162"/>
    </row>
    <row r="210" s="32" customFormat="1" ht="29.25" customHeight="1" spans="1:12">
      <c r="A210" s="60">
        <v>3</v>
      </c>
      <c r="B210" s="188" t="s">
        <v>241</v>
      </c>
      <c r="C210" s="188"/>
      <c r="D210" s="188"/>
      <c r="E210" s="188"/>
      <c r="F210" s="188"/>
      <c r="G210" s="188"/>
      <c r="H210" s="188"/>
      <c r="I210" s="188"/>
      <c r="J210" s="161"/>
      <c r="K210" s="162"/>
      <c r="L210" s="162"/>
    </row>
    <row r="211" s="32" customFormat="1" ht="27.75" customHeight="1" spans="1:12">
      <c r="A211" s="60">
        <v>4</v>
      </c>
      <c r="B211" s="188" t="s">
        <v>242</v>
      </c>
      <c r="C211" s="188"/>
      <c r="D211" s="188"/>
      <c r="E211" s="188"/>
      <c r="F211" s="188"/>
      <c r="G211" s="188"/>
      <c r="H211" s="188"/>
      <c r="I211" s="188"/>
      <c r="J211" s="161"/>
      <c r="K211" s="162"/>
      <c r="L211" s="162"/>
    </row>
    <row r="212" s="32" customFormat="1" ht="58" customHeight="1" spans="1:12">
      <c r="A212" s="60">
        <v>5</v>
      </c>
      <c r="B212" s="188" t="s">
        <v>243</v>
      </c>
      <c r="C212" s="188"/>
      <c r="D212" s="188"/>
      <c r="E212" s="188"/>
      <c r="F212" s="188"/>
      <c r="G212" s="188"/>
      <c r="H212" s="188"/>
      <c r="I212" s="188"/>
      <c r="J212" s="161"/>
      <c r="K212" s="162"/>
      <c r="L212" s="162"/>
    </row>
    <row r="213" s="32" customFormat="1" ht="31.5" customHeight="1" spans="1:12">
      <c r="A213" s="60">
        <v>6</v>
      </c>
      <c r="B213" s="63" t="s">
        <v>244</v>
      </c>
      <c r="C213" s="63"/>
      <c r="D213" s="63"/>
      <c r="E213" s="63"/>
      <c r="F213" s="63"/>
      <c r="G213" s="63"/>
      <c r="H213" s="63"/>
      <c r="I213" s="63"/>
      <c r="J213" s="161"/>
      <c r="K213" s="162"/>
      <c r="L213" s="162"/>
    </row>
    <row r="214" s="32" customFormat="1" ht="16.5" customHeight="1" spans="1:12">
      <c r="A214" s="60">
        <v>7</v>
      </c>
      <c r="B214" s="188" t="s">
        <v>245</v>
      </c>
      <c r="C214" s="188"/>
      <c r="D214" s="188"/>
      <c r="E214" s="188"/>
      <c r="F214" s="188"/>
      <c r="G214" s="188"/>
      <c r="H214" s="188"/>
      <c r="I214" s="188"/>
      <c r="J214" s="161"/>
      <c r="K214" s="162"/>
      <c r="L214" s="162"/>
    </row>
    <row r="215" s="32" customFormat="1" ht="16" customHeight="1" spans="1:12">
      <c r="A215" s="60">
        <v>8</v>
      </c>
      <c r="B215" s="188" t="s">
        <v>246</v>
      </c>
      <c r="C215" s="188"/>
      <c r="D215" s="188"/>
      <c r="E215" s="188"/>
      <c r="F215" s="188"/>
      <c r="G215" s="188"/>
      <c r="H215" s="188"/>
      <c r="I215" s="188"/>
      <c r="J215" s="161"/>
      <c r="K215" s="162"/>
      <c r="L215" s="162"/>
    </row>
    <row r="216" s="32" customFormat="1" ht="16" customHeight="1" spans="1:12">
      <c r="A216" s="60">
        <v>9</v>
      </c>
      <c r="B216" s="188" t="s">
        <v>247</v>
      </c>
      <c r="C216" s="188"/>
      <c r="D216" s="188"/>
      <c r="E216" s="188"/>
      <c r="F216" s="188"/>
      <c r="G216" s="188"/>
      <c r="H216" s="188"/>
      <c r="I216" s="188"/>
      <c r="J216" s="161"/>
      <c r="K216" s="162"/>
      <c r="L216" s="162"/>
    </row>
    <row r="217" s="37" customFormat="1" ht="15.75" customHeight="1" spans="1:12">
      <c r="A217" s="189"/>
      <c r="B217" s="190" t="s">
        <v>248</v>
      </c>
      <c r="C217" s="190"/>
      <c r="D217" s="190"/>
      <c r="E217" s="190"/>
      <c r="F217" s="190"/>
      <c r="G217" s="190"/>
      <c r="H217" s="190"/>
      <c r="I217" s="190"/>
      <c r="J217" s="191"/>
      <c r="K217" s="191"/>
      <c r="L217" s="191"/>
    </row>
    <row r="219" s="33" customFormat="1" ht="17.15" customHeight="1" spans="1:12">
      <c r="A219" s="153" t="s">
        <v>12</v>
      </c>
      <c r="B219" s="163" t="s">
        <v>249</v>
      </c>
      <c r="C219" s="153"/>
      <c r="D219" s="153"/>
      <c r="E219" s="153"/>
      <c r="F219" s="164"/>
      <c r="G219" s="153"/>
      <c r="H219" s="164"/>
      <c r="J219" s="167"/>
      <c r="K219" s="168"/>
      <c r="L219" s="168"/>
    </row>
    <row r="220" s="38" customFormat="1" ht="16" customHeight="1" spans="1:12">
      <c r="A220" s="60">
        <v>1</v>
      </c>
      <c r="B220" s="192" t="s">
        <v>250</v>
      </c>
      <c r="C220" s="193">
        <v>17</v>
      </c>
      <c r="D220" s="194" t="s">
        <v>251</v>
      </c>
      <c r="E220" s="194">
        <v>320</v>
      </c>
      <c r="F220" s="60">
        <f>C220*E220</f>
        <v>5440</v>
      </c>
      <c r="G220" s="194">
        <v>225</v>
      </c>
      <c r="H220" s="60">
        <f>SUM(G220*C220)</f>
        <v>3825</v>
      </c>
      <c r="I220" s="195" t="s">
        <v>252</v>
      </c>
    </row>
    <row r="221" customFormat="1" ht="27" customHeight="1" spans="1:12">
      <c r="A221" s="60">
        <v>2</v>
      </c>
      <c r="B221" s="192" t="s">
        <v>253</v>
      </c>
      <c r="C221" s="60">
        <v>4.2</v>
      </c>
      <c r="D221" s="62" t="s">
        <v>38</v>
      </c>
      <c r="E221" s="196">
        <v>340</v>
      </c>
      <c r="F221" s="60">
        <f>C221*E221</f>
        <v>1428</v>
      </c>
      <c r="G221" s="62">
        <v>380</v>
      </c>
      <c r="H221" s="60">
        <f>SUM(G221*C221)</f>
        <v>1596</v>
      </c>
      <c r="I221" s="197" t="s">
        <v>254</v>
      </c>
    </row>
    <row r="222" s="22" customFormat="1" customHeight="1" spans="1:12">
      <c r="A222" s="62"/>
      <c r="B222" s="60"/>
      <c r="C222" s="198"/>
      <c r="D222" s="198"/>
      <c r="E222" s="198"/>
      <c r="F222" s="62">
        <f>SUM(F220:F221)</f>
        <v>6868</v>
      </c>
      <c r="G222" s="198"/>
      <c r="H222" s="62">
        <f>SUM(H220:H221)</f>
        <v>5421</v>
      </c>
      <c r="I222" s="32"/>
    </row>
    <row r="223" s="14" customFormat="1" ht="17.25" customHeight="1" spans="1:12">
      <c r="A223" s="85"/>
      <c r="B223" s="199" t="s">
        <v>196</v>
      </c>
      <c r="C223" s="85"/>
      <c r="D223" s="85"/>
      <c r="E223" s="85"/>
      <c r="F223" s="85"/>
      <c r="G223" s="85"/>
      <c r="H223" s="151">
        <f>H222+F222</f>
        <v>12289</v>
      </c>
      <c r="I223" s="152"/>
      <c r="J223" s="88"/>
      <c r="K223" s="88"/>
      <c r="L223" s="88"/>
    </row>
  </sheetData>
  <mergeCells count="31">
    <mergeCell ref="A1:I1"/>
    <mergeCell ref="A2:H2"/>
    <mergeCell ref="A3:K3"/>
    <mergeCell ref="B8:E8"/>
    <mergeCell ref="B58:E58"/>
    <mergeCell ref="B119:E119"/>
    <mergeCell ref="B136:E136"/>
    <mergeCell ref="B176:I176"/>
    <mergeCell ref="B182:G182"/>
    <mergeCell ref="C207:I207"/>
    <mergeCell ref="B208:I208"/>
    <mergeCell ref="B209:I209"/>
    <mergeCell ref="B210:I210"/>
    <mergeCell ref="B211:I211"/>
    <mergeCell ref="B212:I212"/>
    <mergeCell ref="B213:I213"/>
    <mergeCell ref="B214:I214"/>
    <mergeCell ref="B215:I215"/>
    <mergeCell ref="B216:I216"/>
    <mergeCell ref="B217:I217"/>
    <mergeCell ref="A4:A7"/>
    <mergeCell ref="B4:B7"/>
    <mergeCell ref="C4:C7"/>
    <mergeCell ref="D4:D7"/>
    <mergeCell ref="E6:E7"/>
    <mergeCell ref="F6:F7"/>
    <mergeCell ref="G6:G7"/>
    <mergeCell ref="H6:H7"/>
    <mergeCell ref="I4:I7"/>
    <mergeCell ref="E4:F5"/>
    <mergeCell ref="G4:H5"/>
  </mergeCells>
  <pageMargins left="0.275" right="0.0777777777777778" top="0.235416666666667" bottom="0.0388888888888889" header="0.829861111111111" footer="0.235416666666667"/>
  <pageSetup paperSize="9" orientation="landscape"/>
  <headerFooter alignWithMargins="0" scaleWithDoc="0">
    <oddFooter>&amp;C&amp;"Times New Roman"&amp;12第 &amp;P 页</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6"/>
  <sheetViews>
    <sheetView showFormulas="1" workbookViewId="0">
      <selection activeCell="C1" sqref="C1"/>
    </sheetView>
  </sheetViews>
  <sheetFormatPr defaultColWidth="10" defaultRowHeight="12.5" outlineLevelCol="2"/>
  <cols>
    <col min="1" max="1" width="26.0833333333333" style="1" customWidth="1"/>
    <col min="2" max="2" width="1.08333333333333" style="1" customWidth="1"/>
    <col min="3" max="3" width="28.0833333333333" style="1" customWidth="1"/>
    <col min="4" max="16384" width="10" style="1"/>
  </cols>
  <sheetData>
    <row r="1" ht="13" spans="1:3">
      <c r="A1" s="2" t="s">
        <v>255</v>
      </c>
    </row>
    <row r="2" ht="13.75" spans="1:3">
      <c r="A2" s="2" t="s">
        <v>256</v>
      </c>
    </row>
    <row r="3" ht="13.25" spans="1:3">
      <c r="A3" s="3" t="s">
        <v>257</v>
      </c>
      <c r="C3" s="4" t="s">
        <v>258</v>
      </c>
    </row>
    <row r="4" spans="1:3">
      <c r="A4" s="3">
        <v>1</v>
      </c>
    </row>
    <row r="6" ht="13.25"/>
    <row r="7" ht="13" spans="1:3">
      <c r="A7" s="5" t="s">
        <v>259</v>
      </c>
    </row>
    <row r="8" ht="13" spans="1:3">
      <c r="A8" s="6" t="s">
        <v>260</v>
      </c>
    </row>
    <row r="9" spans="1:3">
      <c r="A9" s="1" t="s">
        <v>261</v>
      </c>
    </row>
    <row r="10" ht="13" spans="1:3">
      <c r="A10" s="6" t="s">
        <v>262</v>
      </c>
    </row>
    <row r="11" spans="1:3">
      <c r="A11" s="1" t="s">
        <v>263</v>
      </c>
    </row>
    <row r="13" ht="13.25"/>
    <row r="14" ht="13.25" spans="1:3">
      <c r="A14" s="4" t="s">
        <v>264</v>
      </c>
    </row>
    <row r="16" ht="13.25"/>
    <row r="17" ht="13.25" spans="1:3">
      <c r="C17" s="4" t="s">
        <v>265</v>
      </c>
    </row>
    <row r="20" spans="1:3">
      <c r="A20" s="1" t="s">
        <v>266</v>
      </c>
    </row>
    <row r="26" spans="1:3">
      <c r="C26" s="1" t="s">
        <v>267</v>
      </c>
    </row>
  </sheetData>
  <sheetProtection password="8863" sheet="1" objects="1" scenarios="1"/>
  <pageMargins left="0.75" right="0.75" top="1" bottom="1" header="0.5" footer="0.5"/>
  <headerFooter alignWithMargins="0" scaleWithDoc="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5" master="" otherUserPermission="visible"/>
  <rangeList sheetStid="4"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Company>满堂红</Company>
  <Application>Microsoft Excel</Application>
  <HeadingPairs>
    <vt:vector size="2" baseType="variant">
      <vt:variant>
        <vt:lpstr>工作表</vt:lpstr>
      </vt:variant>
      <vt:variant>
        <vt:i4>2</vt:i4>
      </vt:variant>
    </vt:vector>
  </HeadingPairs>
  <TitlesOfParts>
    <vt:vector size="2" baseType="lpstr">
      <vt:lpstr>626</vt:lpstr>
      <vt:lpstr>Wb048gik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吴秋辰</cp:lastModifiedBy>
  <cp:revision>1</cp:revision>
  <dcterms:created xsi:type="dcterms:W3CDTF">2002-06-15T02:54:00Z</dcterms:created>
  <cp:lastPrinted>2018-07-15T03:46:00Z</cp:lastPrinted>
  <dcterms:modified xsi:type="dcterms:W3CDTF">2026-06-27T10:01:44Z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0735085390924D56B04DBE2AA26B728F</vt:lpwstr>
  </property>
  <property fmtid="{D5CDD505-2E9C-101B-9397-08002B2CF9AE}" pid="4" name="CalculationRule">
    <vt:i4>0</vt:i4>
  </property>
</Properties>
</file>