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2019报价" sheetId="1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<sst xmlns="http://schemas.openxmlformats.org/spreadsheetml/2006/main" count="456" uniqueCount="225">
  <si>
    <t xml:space="preserve">                                                                                      广东帝豪装饰集团巴中分公司（工程预算单）
</t>
  </si>
  <si>
    <t xml:space="preserve">工程名称：印江洲2#12-2何先生雅居
             </t>
  </si>
  <si>
    <t>公司地址:巴中市黄家沟居然之家四楼2-4-009号                                        电话:0827-3888300</t>
  </si>
  <si>
    <t>序号</t>
  </si>
  <si>
    <t>项目内容</t>
  </si>
  <si>
    <t>数量</t>
  </si>
  <si>
    <t>单位</t>
  </si>
  <si>
    <t>材料</t>
  </si>
  <si>
    <t>人工</t>
  </si>
  <si>
    <t>施工工艺及材料说明</t>
  </si>
  <si>
    <t>单价</t>
  </si>
  <si>
    <t>合价</t>
  </si>
  <si>
    <t>一</t>
  </si>
  <si>
    <t>客厅、餐厅及阳台</t>
  </si>
  <si>
    <t>窗帘盒</t>
  </si>
  <si>
    <t>M</t>
  </si>
  <si>
    <t>欧松板、石膏板、辅料、人工及机具费。</t>
  </si>
  <si>
    <t>石膏板平面天花</t>
  </si>
  <si>
    <r>
      <rPr>
        <sz val="11"/>
        <rFont val="新宋体"/>
        <charset val="134"/>
      </rPr>
      <t>M</t>
    </r>
    <r>
      <rPr>
        <vertAlign val="superscript"/>
        <sz val="11"/>
        <rFont val="新宋体"/>
        <charset val="134"/>
      </rPr>
      <t>2</t>
    </r>
  </si>
  <si>
    <t>木龙骨或轻钢龙骨框架结构、膨胀螺丝固定、纸面石膏板封面（以展开面积计算)、乳胶漆另计</t>
  </si>
  <si>
    <t>造型天花</t>
  </si>
  <si>
    <r>
      <rPr>
        <sz val="11"/>
        <color theme="1"/>
        <rFont val="新宋体"/>
        <charset val="134"/>
      </rPr>
      <t>M</t>
    </r>
    <r>
      <rPr>
        <vertAlign val="superscript"/>
        <sz val="11"/>
        <color theme="1"/>
        <rFont val="新宋体"/>
        <charset val="134"/>
      </rPr>
      <t>2</t>
    </r>
  </si>
  <si>
    <t>木龙骨或轻钢龙骨框架，造型位置夹板框架、纸面石膏板封面(以展开面积计算)、弧型处夹板衬底、乳胶漆另计。</t>
  </si>
  <si>
    <t xml:space="preserve"> </t>
  </si>
  <si>
    <t>天花虚光灯槽</t>
  </si>
  <si>
    <t>m</t>
  </si>
  <si>
    <t>欧松板打底石膏板封面，辅料、人工及机具费。</t>
  </si>
  <si>
    <t>50-60MM优质艺术石膏线</t>
  </si>
  <si>
    <t>1、普通艺术石膏线、快粘粉粘贴、直钉固定。2、人工及机具费。</t>
  </si>
  <si>
    <t>80MM优质艺术石膏线</t>
  </si>
  <si>
    <t>艺术石膏线刷漆</t>
  </si>
  <si>
    <t>石膏线或PU角线刷漆</t>
  </si>
  <si>
    <t>客厅及餐厅正铺地砖（600*1200MM）</t>
  </si>
  <si>
    <t>１、强度32.5MPa普通硅酸盐水泥、水泥沙浆铺设等辅料及人工工资。2、地砖、水泥、砂浆厚度超过4CM按找平另计。（地砖业主自购）</t>
  </si>
  <si>
    <t>勾缝处理</t>
  </si>
  <si>
    <t>人工、辅料及瓷砖缝清洗</t>
  </si>
  <si>
    <t>造型基层</t>
  </si>
  <si>
    <r>
      <rPr>
        <sz val="11"/>
        <rFont val="宋体"/>
        <charset val="134"/>
      </rPr>
      <t>M</t>
    </r>
    <r>
      <rPr>
        <vertAlign val="superscript"/>
        <sz val="11"/>
        <rFont val="宋体"/>
        <charset val="134"/>
      </rPr>
      <t>2</t>
    </r>
  </si>
  <si>
    <t>木龙骨框架结构，膨胀螺丝固定，欧松板封面刷防潮油、人工及机具费。（***业主自购）</t>
  </si>
  <si>
    <t>墙顶面基层加固</t>
  </si>
  <si>
    <t>鸟巢界面剂或德高界面剂、人工及机具费。</t>
  </si>
  <si>
    <t>墙面基层处理（鸟巢腻子）</t>
  </si>
  <si>
    <t>鸟巢水性嵌缝石膏补顶缝、瑞安健康找平腻子底层、瑞安健康腻子面层、白布、砂纸、牛皮纸、人工及机具费。</t>
  </si>
  <si>
    <t>芬琳芬华五合一内墙乳胶漆</t>
  </si>
  <si>
    <t>1、底漆、面漆、人工及机具费。(有色漆每平米另加3元、若要求喷漆另加3元）</t>
  </si>
  <si>
    <t>墙面漆护角</t>
  </si>
  <si>
    <t>项</t>
  </si>
  <si>
    <t>天花及墙面阳角护角、人工及机具费。</t>
  </si>
  <si>
    <t>防潮处理</t>
  </si>
  <si>
    <t>1、木制作与墙面接触处刷防潮油，中间防潮棉相隔。2、人工工资</t>
  </si>
  <si>
    <t>地面保护</t>
  </si>
  <si>
    <t>广东帝豪装饰专用保护棉、辅料及人工</t>
  </si>
  <si>
    <t>小计</t>
  </si>
  <si>
    <t>二</t>
  </si>
  <si>
    <t>厨房</t>
  </si>
  <si>
    <t>铺地砖（正贴）</t>
  </si>
  <si>
    <t>墙面贴瓷片</t>
  </si>
  <si>
    <r>
      <rPr>
        <sz val="10"/>
        <color theme="1"/>
        <rFont val="新宋体"/>
        <charset val="134"/>
      </rPr>
      <t>强度32.5MPa水泥、水泥沙浆铺设及人工工资。（瓷片业主自购、瓷砖胶粘贴另加15元／M</t>
    </r>
    <r>
      <rPr>
        <vertAlign val="superscript"/>
        <sz val="10"/>
        <color theme="1"/>
        <rFont val="新宋体"/>
        <charset val="134"/>
      </rPr>
      <t>2</t>
    </r>
    <r>
      <rPr>
        <sz val="10"/>
        <color theme="1"/>
        <rFont val="新宋体"/>
        <charset val="134"/>
      </rPr>
      <t>）</t>
    </r>
  </si>
  <si>
    <t>墙面瓷砖刷背胶</t>
  </si>
  <si>
    <t>瓷砖背面刷瓷砖背胶，人工及机具费。（背胶业主自购）</t>
  </si>
  <si>
    <t>墙面瓷片碰角加工</t>
  </si>
  <si>
    <t>1、双面瓷片加工内边成直角拼接。2、人工及机具费。</t>
  </si>
  <si>
    <t>人工及瓷砖缝清洗</t>
  </si>
  <si>
    <t>地面防水处理</t>
  </si>
  <si>
    <t>1、德高防水（柔性）、高度300MM。2、人工及机具费</t>
  </si>
  <si>
    <t>三</t>
  </si>
  <si>
    <t>公卫</t>
  </si>
  <si>
    <t>德高防水（柔性）,人工及机具费</t>
  </si>
  <si>
    <t>地面防水保护层</t>
  </si>
  <si>
    <t>水泥、沙对已完工防水工程表面覆盖保护，厚度3-5公分</t>
  </si>
  <si>
    <t>墙面防水层</t>
  </si>
  <si>
    <t>1、墙面清理干净。2、德高防水（钢性）。3、人工及机具费</t>
  </si>
  <si>
    <t>四</t>
  </si>
  <si>
    <t>主卧</t>
  </si>
  <si>
    <t>五</t>
  </si>
  <si>
    <t>主卫</t>
  </si>
  <si>
    <t>1、双面瓷片加工内边成直角拼接。2、人工及机具费。(如门套内需碰角另计)</t>
  </si>
  <si>
    <t>六</t>
  </si>
  <si>
    <t>次卧一</t>
  </si>
  <si>
    <t>飘窗大理石铺贴</t>
  </si>
  <si>
    <t>1、含水泥、沙等辅料。2、人工及机具费（大理石业主自购）</t>
  </si>
  <si>
    <t>七</t>
  </si>
  <si>
    <t>次卧二</t>
  </si>
  <si>
    <t>八</t>
  </si>
  <si>
    <t>综合</t>
  </si>
  <si>
    <t>A</t>
  </si>
  <si>
    <t>电安装（部份改动）</t>
  </si>
  <si>
    <t>开关插座布线</t>
  </si>
  <si>
    <t>1、伟星PVC-U斯派诺线管、线夹、锁头、防腊管、波纹管、2.5平方电线、辅料、人工及机具费。</t>
  </si>
  <si>
    <t>电话线</t>
  </si>
  <si>
    <t>1、4芯线、PVC管、辅料等。2、人工及机具费</t>
  </si>
  <si>
    <t>电视线</t>
  </si>
  <si>
    <t>1、单芯线、PVC管、辅料等。2、人工及机具费</t>
  </si>
  <si>
    <t>光纤线</t>
  </si>
  <si>
    <t>网线</t>
  </si>
  <si>
    <t>音响线</t>
  </si>
  <si>
    <t>1、多芯线、PVC管、辅料等。2、人工及机具费</t>
  </si>
  <si>
    <t>液晶电视引线管</t>
  </si>
  <si>
    <t>1、59mmPVC管，预藏电视墙内，便于插座线及电视线穿插</t>
  </si>
  <si>
    <t>底盒、面板安装</t>
  </si>
  <si>
    <t>个</t>
  </si>
  <si>
    <t>1、底盒、按工地实际发生的数量计算</t>
  </si>
  <si>
    <r>
      <rPr>
        <sz val="11"/>
        <color theme="1"/>
        <rFont val="新宋体"/>
        <charset val="134"/>
      </rPr>
      <t>专线(4MM</t>
    </r>
    <r>
      <rPr>
        <vertAlign val="superscript"/>
        <sz val="11"/>
        <color theme="1"/>
        <rFont val="新宋体"/>
        <charset val="134"/>
      </rPr>
      <t>2</t>
    </r>
    <r>
      <rPr>
        <sz val="11"/>
        <color theme="1"/>
        <rFont val="新宋体"/>
        <charset val="134"/>
      </rPr>
      <t>)</t>
    </r>
  </si>
  <si>
    <t>1、客厅、卧室空调及厨房动力线为4平方毫米铜芯导线。2、接地线为2.5平方毫米铜芯导线。3、PVC管、弯头、直通。4、人工机具费</t>
  </si>
  <si>
    <r>
      <rPr>
        <sz val="11"/>
        <color theme="1"/>
        <rFont val="新宋体"/>
        <charset val="134"/>
      </rPr>
      <t>专线(6MM</t>
    </r>
    <r>
      <rPr>
        <vertAlign val="superscript"/>
        <sz val="11"/>
        <color theme="1"/>
        <rFont val="新宋体"/>
        <charset val="134"/>
      </rPr>
      <t>2</t>
    </r>
    <r>
      <rPr>
        <sz val="11"/>
        <color theme="1"/>
        <rFont val="新宋体"/>
        <charset val="134"/>
      </rPr>
      <t>)</t>
    </r>
  </si>
  <si>
    <t>1、客厅、卧室空调及厨房动力线为6平方毫米铜芯导线。2、接地线为2.5平方毫米铜芯导线。3、PVC管、弯头、直通。4、人工机具费</t>
  </si>
  <si>
    <r>
      <rPr>
        <sz val="11"/>
        <color theme="1"/>
        <rFont val="新宋体"/>
        <charset val="134"/>
      </rPr>
      <t>专线(10MM</t>
    </r>
    <r>
      <rPr>
        <vertAlign val="superscript"/>
        <sz val="11"/>
        <color theme="1"/>
        <rFont val="新宋体"/>
        <charset val="134"/>
      </rPr>
      <t>2</t>
    </r>
    <r>
      <rPr>
        <sz val="11"/>
        <color theme="1"/>
        <rFont val="新宋体"/>
        <charset val="134"/>
      </rPr>
      <t>)</t>
    </r>
  </si>
  <si>
    <t>1、客厅、卧室空调及厨房动力线为10平方毫米铜芯导线。2、接地线为2.5平方毫米铜芯导线。3、PVC管、弯头、直通。4、人工机具费</t>
  </si>
  <si>
    <t>强电箱安装</t>
  </si>
  <si>
    <t>1、水泥、沙、等辅料及人工安装费(含电箱)。2、配件业主自购。</t>
  </si>
  <si>
    <t>弱电箱安装</t>
  </si>
  <si>
    <t>灯具安装</t>
  </si>
  <si>
    <t>1、膨胀螺丝、电胶布等辅料及人工安装。2、三房两厅以内。3、四房两厅另加40元（复式或别墅另加160元、不含主灯）</t>
  </si>
  <si>
    <t>布线开槽</t>
  </si>
  <si>
    <t>切槽、人工及机具费 。</t>
  </si>
  <si>
    <t>B</t>
  </si>
  <si>
    <t>水安装（部份改动）</t>
  </si>
  <si>
    <t>冷、热给水管（布管）</t>
  </si>
  <si>
    <t>1、定位、伟星福管PPR管、安装水管、试压（辅料，人工及机具费.注：此项工程结算可能与报价相差较大．（不含水龙头及阀门）</t>
  </si>
  <si>
    <t>排水管安装</t>
  </si>
  <si>
    <t>1、定位、固定、试水、封管、弯头、伟星牌PVC-U（青韵）下水管，人工及机具费。2、按实际发生工程量计算</t>
  </si>
  <si>
    <t>排污管安装</t>
  </si>
  <si>
    <t>空调下水管安装</t>
  </si>
  <si>
    <t>PVC水管、按实际发生工程量计算</t>
  </si>
  <si>
    <t>总水阀安装</t>
  </si>
  <si>
    <t>总水阀及配件、人工及机具费。</t>
  </si>
  <si>
    <t>九</t>
  </si>
  <si>
    <t>其它</t>
  </si>
  <si>
    <t>门槛大理石铺贴</t>
  </si>
  <si>
    <t>1、水泥、沙、直线镶贴、弧型线另加20%。2、人工及机具费（大理石业主自购）</t>
  </si>
  <si>
    <t>沉箱架空处理</t>
  </si>
  <si>
    <t>水泥瓷砖预制板及人工架空处理、人工及机具费(瓷砖业主自购)</t>
  </si>
  <si>
    <t>沉箱回填</t>
  </si>
  <si>
    <t>1、沉箱清理。2、二次排水处理.3、水泥、沙、碎砖填平。4、人工及机具费</t>
  </si>
  <si>
    <t>包单排水管</t>
  </si>
  <si>
    <t>条</t>
  </si>
  <si>
    <t>水泥、沙、砖。人工及机具费。（贴瓷片另计、如需做隔音处理另加50元／条）</t>
  </si>
  <si>
    <t>包双排水管</t>
  </si>
  <si>
    <t>室内高空作业费</t>
  </si>
  <si>
    <t>复式或者别墅另加700元/套</t>
  </si>
  <si>
    <t>地漏安装</t>
  </si>
  <si>
    <t>水泥、沙、等辅料及人工安装费（地漏四周走边）。</t>
  </si>
  <si>
    <t>墙面修补</t>
  </si>
  <si>
    <t>1、门洞、边角及后期墙面损坏修补（包人工，水泥，沙）</t>
  </si>
  <si>
    <t>新建门洞(90CM内)</t>
  </si>
  <si>
    <t>1、钢筋、悬空处理、水泥、沙等辅料。2、人工及机具费</t>
  </si>
  <si>
    <t>中央空调风口加固</t>
  </si>
  <si>
    <t>中央空调出风口及入风口加固</t>
  </si>
  <si>
    <t>蹲厕安装</t>
  </si>
  <si>
    <t>1、水泥、沙、等辅料及人工安装费。2、蹲厕及下水业主自购</t>
  </si>
  <si>
    <t>淋浴基石安装</t>
  </si>
  <si>
    <t>１、含水泥、沙、砖、白水泥等辅料。2、人工及机具费（大理石业主自购）。</t>
  </si>
  <si>
    <t>成品保护</t>
  </si>
  <si>
    <t>专用保护膜、辅料及人工</t>
  </si>
  <si>
    <t>墙面防裂网</t>
  </si>
  <si>
    <r>
      <rPr>
        <sz val="11"/>
        <color indexed="8"/>
        <rFont val="宋体"/>
        <charset val="134"/>
      </rPr>
      <t>M</t>
    </r>
    <r>
      <rPr>
        <vertAlign val="superscript"/>
        <sz val="11"/>
        <color indexed="8"/>
        <rFont val="宋体"/>
        <charset val="134"/>
      </rPr>
      <t>2</t>
    </r>
  </si>
  <si>
    <t>墙面挂网、人工</t>
  </si>
  <si>
    <t>阳台大理石挡水边</t>
  </si>
  <si>
    <t>１、含水泥、沙、白水泥等辅料。2、人工及机具费（大理石业主自购）。</t>
  </si>
  <si>
    <t>烟道瓷片防脱落处理</t>
  </si>
  <si>
    <t>水泥、沙、砖、铁丝网。人工及机具费。（贴瓷片另计）</t>
  </si>
  <si>
    <t>墙体拆除</t>
  </si>
  <si>
    <t>1、32CM以上墙体或是混凝土墙另计</t>
  </si>
  <si>
    <t>顶面白灰铲除</t>
  </si>
  <si>
    <t>人工及机具费(墙面如有白灰需铲除的需另加3元/㎡)</t>
  </si>
  <si>
    <t>砌墙（12分）</t>
  </si>
  <si>
    <t>1、水泥、沙、砖等辅料及人工工资。（不含墙面批档）</t>
  </si>
  <si>
    <t>墙面批档</t>
  </si>
  <si>
    <t>1、新老墙接触挂铁丝网批档、含水泥、沙、等材料及人工工资。2、（单面计算）</t>
  </si>
  <si>
    <t>开荒保洁</t>
  </si>
  <si>
    <t>全屋整体开荒保洁一次。</t>
  </si>
  <si>
    <t>合计</t>
  </si>
  <si>
    <t>直接费</t>
  </si>
  <si>
    <t>以下项目不打折</t>
  </si>
  <si>
    <t>搬运费3.5%</t>
  </si>
  <si>
    <t>1、不含主材搬运费（直接费*3.5%）</t>
  </si>
  <si>
    <t>建渣清运3%</t>
  </si>
  <si>
    <t>1、从施工现场运至物业指定垃圾堆放处。2、垃圾用编织袋等封装。3、此价格不含垃圾外运费。4、此项费用不包括物业收取的垃圾费（直接费*3%）</t>
  </si>
  <si>
    <t>管理费8%</t>
  </si>
  <si>
    <t>（直接费*8%）</t>
  </si>
  <si>
    <t>设计服务费5%</t>
  </si>
  <si>
    <t>（直接费*5%）</t>
  </si>
  <si>
    <t>总计</t>
  </si>
  <si>
    <t>税金=（总计*6%）</t>
  </si>
  <si>
    <t>1、以上价格未含税金，若要另开正规税务发票需另收总计6%的税费</t>
  </si>
  <si>
    <t>补充报价</t>
  </si>
  <si>
    <t>抽屉及键盘</t>
  </si>
  <si>
    <t>只</t>
  </si>
  <si>
    <t>1、1.8厚鹏鸿实木免漆板做主体结构、专用收边条收边。三节轨道固定。2、人工工资及机具费</t>
  </si>
  <si>
    <t>小挂件安装</t>
  </si>
  <si>
    <t>1、巾架、浴巾架、肥皂盒、杯托架等，每个算1项</t>
  </si>
  <si>
    <t>洗手盆安装</t>
  </si>
  <si>
    <t>1、玻璃胶、等辅料及人工安装费。洗手盆及下水业主自购</t>
  </si>
  <si>
    <t>淋浴安装</t>
  </si>
  <si>
    <t>1、玻璃胶、等辅料及人工安装费。淋浴喷洒业主自购</t>
  </si>
  <si>
    <t>座厕安装</t>
  </si>
  <si>
    <t>1、水泥、沙、等辅料及人工安装费。2、座厕及下水业主自购</t>
  </si>
  <si>
    <t>砌壁龛</t>
  </si>
  <si>
    <t>水泥、沙、红砖等辅料、人工及机具费。</t>
  </si>
  <si>
    <t>空调孔开孔</t>
  </si>
  <si>
    <t>人工及机具费</t>
  </si>
  <si>
    <t>开孔</t>
  </si>
  <si>
    <t>人工及机具费（厨房及卫生间瓷砖上开水管牙头孔）</t>
  </si>
  <si>
    <t>悬挂电视位红砖加固</t>
  </si>
  <si>
    <t>地暖后整体找平</t>
  </si>
  <si>
    <t>水泥、沙浆等辅料、人工及机具费(加钢丝网另加10元/㎡）</t>
  </si>
  <si>
    <t>做地暖门洞升高</t>
  </si>
  <si>
    <t>门洞升高及修补。</t>
  </si>
  <si>
    <t>暗装预埋花洒</t>
  </si>
  <si>
    <t>1、开槽，管件预埋、2、人工及机具费</t>
  </si>
  <si>
    <t>暗装预埋水箱</t>
  </si>
  <si>
    <t>1、开槽，水箱预埋、2、人工及机具费</t>
  </si>
  <si>
    <t>拆构造柱</t>
  </si>
  <si>
    <t>编织袋装袋及人工</t>
  </si>
  <si>
    <t>补充说明</t>
  </si>
  <si>
    <t>业主自购材料：大理石、地砖、瓷片、墙纸及墙布、艺术漆、木地板、灯具、洁具、橱柜及电器、铝扣吊顶、艺术玻璃、定制家具及护墙板、实木雕花、水龙头、门窗及门锁、五金件、开关插座面板、地漏、空调打洞、煤气总闸等</t>
  </si>
  <si>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</si>
  <si>
    <t>如果您先做预算（指尚未出施工图纸），此报价仅供您参考或作为您与我公司签定合同的参考依据，我公司保留依施工图纸所用材料和加工件复杂系数 ，修订项目单价的权力（具体价格待施工图确定后再定）</t>
  </si>
  <si>
    <t>工程所在地方的房管局审批费用和物业管理处所交一切费用由业主支付；乙方协助提供甲方所需相关资料。施工中如有增减项目，以增减项目变更单为准结算工程款；工程结算时，按实际发生的工程量计算；</t>
  </si>
  <si>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</si>
  <si>
    <t>超过二层及以上无电梯或电梯不准运输，材料搬运费及垃圾清运费另加合计费的2%；五层及以上无电梯或电梯不准运输，材料搬运费及垃圾清运费另加3% .（注：含有电梯但不准运输）以此类推。</t>
  </si>
  <si>
    <t>业主交纳工程款时，必须见到带有本公司财务公章的正规收据，否则本公司有权不予认可</t>
  </si>
  <si>
    <t>施工过程中，如果业主装修项目有违反建筑装饰施工条例的项目，本公司有权拒绝施工。(如甲方强制要求施工，本公司不予保修及承担任何责任）</t>
  </si>
  <si>
    <r>
      <rPr>
        <sz val="11"/>
        <rFont val="新宋体"/>
        <charset val="134"/>
      </rPr>
      <t>注：本报价中增加项目及水电项目未含</t>
    </r>
    <r>
      <rPr>
        <b/>
        <sz val="11"/>
        <rFont val="新宋体"/>
        <charset val="134"/>
      </rPr>
      <t>以下项目不打折</t>
    </r>
    <r>
      <rPr>
        <sz val="11"/>
        <rFont val="新宋体"/>
        <charset val="134"/>
      </rPr>
      <t>的费用，结算时应予以加上。</t>
    </r>
  </si>
  <si>
    <t>业主：　　　　　审核：　　　　　　设计师：　　　　　　施工图：　　　　　效果图：　　　　　报价：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</si>
</sst>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 "/>
    <numFmt numFmtId="178" formatCode="0.0_ "/>
  </numFmts>
  <fonts count="59">
    <font>
      <sz val="12"/>
      <name val="宋体"/>
      <charset val="134"/>
    </font>
    <font>
      <sz val="10"/>
      <color theme="1"/>
      <name val="宋体"/>
      <charset val="134"/>
    </font>
    <font>
      <sz val="10"/>
      <name val="宋体"/>
      <charset val="134"/>
    </font>
    <font>
      <sz val="11"/>
      <name val="宋体"/>
      <charset val="134"/>
    </font>
    <font>
      <b/>
      <sz val="11"/>
      <color indexed="55"/>
      <name val="宋体"/>
      <charset val="134"/>
    </font>
    <font>
      <sz val="12"/>
      <color indexed="8"/>
      <name val="宋体"/>
      <charset val="134"/>
    </font>
    <font>
      <sz val="12"/>
      <color theme="1"/>
      <name val="宋体"/>
      <charset val="134"/>
    </font>
    <font>
      <sz val="11"/>
      <color theme="1"/>
      <name val="宋体"/>
      <charset val="134"/>
    </font>
    <font>
      <b/>
      <sz val="18"/>
      <name val="新宋体"/>
      <charset val="134"/>
    </font>
    <font>
      <sz val="12"/>
      <name val="新宋体"/>
      <charset val="134"/>
    </font>
    <font>
      <b/>
      <sz val="12"/>
      <name val="新宋体"/>
      <charset val="134"/>
    </font>
    <font>
      <b/>
      <sz val="14"/>
      <name val="新宋体"/>
      <charset val="134"/>
    </font>
    <font>
      <sz val="10"/>
      <name val="新宋体"/>
      <charset val="134"/>
    </font>
    <font>
      <b/>
      <sz val="11"/>
      <name val="新宋体"/>
      <charset val="134"/>
    </font>
    <font>
      <sz val="11"/>
      <name val="新宋体"/>
      <charset val="134"/>
    </font>
    <font>
      <sz val="11"/>
      <color theme="1"/>
      <name val="新宋体"/>
      <charset val="134"/>
    </font>
    <font>
      <sz val="10"/>
      <color theme="1"/>
      <name val="新宋体"/>
      <charset val="134"/>
    </font>
    <font>
      <sz val="8"/>
      <name val="宋体"/>
      <charset val="134"/>
    </font>
    <font>
      <sz val="9"/>
      <name val="宋体"/>
      <charset val="134"/>
    </font>
    <font>
      <b/>
      <sz val="11"/>
      <color indexed="55"/>
      <name val="新宋体"/>
      <charset val="134"/>
    </font>
    <font>
      <b/>
      <sz val="11"/>
      <color indexed="8"/>
      <name val="新宋体"/>
      <charset val="134"/>
    </font>
    <font>
      <sz val="11"/>
      <color indexed="55"/>
      <name val="新宋体"/>
      <charset val="134"/>
    </font>
    <font>
      <sz val="11"/>
      <color indexed="63"/>
      <name val="新宋体"/>
      <charset val="134"/>
    </font>
    <font>
      <b/>
      <sz val="10"/>
      <color indexed="55"/>
      <name val="新宋体"/>
      <charset val="134"/>
    </font>
    <font>
      <sz val="9"/>
      <color theme="1"/>
      <name val="新宋体"/>
      <charset val="134"/>
    </font>
    <font>
      <b/>
      <sz val="9"/>
      <name val="新宋体"/>
      <charset val="134"/>
    </font>
    <font>
      <sz val="10"/>
      <color indexed="8"/>
      <name val="新宋体"/>
      <charset val="134"/>
    </font>
    <font>
      <sz val="9"/>
      <name val="新宋体"/>
      <charset val="134"/>
    </font>
    <font>
      <sz val="10"/>
      <color indexed="8"/>
      <name val="宋体"/>
      <charset val="134"/>
    </font>
    <font>
      <sz val="11"/>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8"/>
      <name val="Arial"/>
      <charset val="134"/>
    </font>
    <font>
      <b/>
      <sz val="12"/>
      <name val="Arial"/>
      <charset val="134"/>
    </font>
    <font>
      <sz val="10"/>
      <name val="Arial"/>
      <charset val="134"/>
    </font>
    <font>
      <vertAlign val="superscript"/>
      <sz val="11"/>
      <name val="新宋体"/>
      <charset val="134"/>
    </font>
    <font>
      <vertAlign val="superscript"/>
      <sz val="11"/>
      <color theme="1"/>
      <name val="新宋体"/>
      <charset val="134"/>
    </font>
    <font>
      <vertAlign val="superscript"/>
      <sz val="10"/>
      <color theme="1"/>
      <name val="新宋体"/>
      <charset val="134"/>
    </font>
    <font>
      <vertAlign val="superscript"/>
      <sz val="11"/>
      <color indexed="8"/>
      <name val="宋体"/>
      <charset val="134"/>
    </font>
    <font>
      <vertAlign val="superscript"/>
      <sz val="11"/>
      <name val="宋体"/>
      <charset val="134"/>
    </font>
  </fonts>
  <fills count="3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s>
  <cellStyleXfs count="66">
    <xf numFmtId="0" fontId="0" fillId="0" borderId="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4" borderId="15"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6" applyNumberFormat="0" applyFill="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8" fillId="0" borderId="0" applyNumberFormat="0" applyFill="0" applyBorder="0" applyAlignment="0" applyProtection="0">
      <alignment vertical="center"/>
    </xf>
    <xf numFmtId="0" fontId="39" fillId="5" borderId="18" applyNumberFormat="0" applyAlignment="0" applyProtection="0">
      <alignment vertical="center"/>
    </xf>
    <xf numFmtId="0" fontId="40" fillId="6" borderId="19" applyNumberFormat="0" applyAlignment="0" applyProtection="0">
      <alignment vertical="center"/>
    </xf>
    <xf numFmtId="0" fontId="41" fillId="6" borderId="18" applyNumberFormat="0" applyAlignment="0" applyProtection="0">
      <alignment vertical="center"/>
    </xf>
    <xf numFmtId="0" fontId="42" fillId="7" borderId="20" applyNumberFormat="0" applyAlignment="0" applyProtection="0">
      <alignment vertical="center"/>
    </xf>
    <xf numFmtId="0" fontId="43" fillId="0" borderId="21" applyNumberFormat="0" applyFill="0" applyAlignment="0" applyProtection="0">
      <alignment vertical="center"/>
    </xf>
    <xf numFmtId="0" fontId="44" fillId="0" borderId="22"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xf numFmtId="0" fontId="50" fillId="0" borderId="0"/>
    <xf numFmtId="0" fontId="50" fillId="0" borderId="0"/>
    <xf numFmtId="176"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0" fontId="0" fillId="0" borderId="0"/>
    <xf numFmtId="176" fontId="0" fillId="0" borderId="0" applyFont="0" applyFill="0" applyBorder="0" applyAlignment="0" applyProtection="0"/>
    <xf numFmtId="0" fontId="0" fillId="0" borderId="0"/>
    <xf numFmtId="0" fontId="51" fillId="0" borderId="5">
      <alignment horizontal="center"/>
    </xf>
    <xf numFmtId="0" fontId="52" fillId="0" borderId="23" applyNumberFormat="0" applyAlignment="0" applyProtection="0">
      <alignment horizontal="left" vertical="center"/>
    </xf>
    <xf numFmtId="0" fontId="52" fillId="0" borderId="14">
      <alignment horizontal="left" vertical="center"/>
    </xf>
    <xf numFmtId="0" fontId="53" fillId="0" borderId="0"/>
    <xf numFmtId="0" fontId="0" fillId="0" borderId="0"/>
    <xf numFmtId="43" fontId="0" fillId="0" borderId="0" applyFont="0" applyFill="0" applyBorder="0" applyAlignment="0" applyProtection="0"/>
  </cellStyleXfs>
  <cellXfs count="130">
    <xf numFmtId="0" fontId="0" fillId="0" borderId="0" xfId="0"/>
    <xf numFmtId="0" fontId="0" fillId="0" borderId="1" xfId="0" applyBorder="1" applyAlignment="1">
      <alignment horizontal="center" vertical="center"/>
    </xf>
    <xf numFmtId="0" fontId="0" fillId="0" borderId="1" xfId="0" applyBorder="1"/>
    <xf numFmtId="0" fontId="0" fillId="0" borderId="2" xfId="0" applyBorder="1"/>
    <xf numFmtId="0" fontId="1" fillId="0" borderId="3" xfId="0" applyFont="1" applyBorder="1" applyAlignment="1">
      <alignment wrapText="1"/>
    </xf>
    <xf numFmtId="0" fontId="2" fillId="0" borderId="3" xfId="0" applyFont="1" applyBorder="1" applyAlignment="1">
      <alignment wrapText="1"/>
    </xf>
    <xf numFmtId="0" fontId="1" fillId="0" borderId="0" xfId="0" applyFont="1" applyAlignment="1">
      <alignment wrapText="1"/>
    </xf>
    <xf numFmtId="0" fontId="3" fillId="2" borderId="4" xfId="0" applyFont="1" applyFill="1" applyBorder="1" applyAlignment="1">
      <alignment wrapText="1"/>
    </xf>
    <xf numFmtId="0" fontId="3" fillId="0" borderId="0" xfId="0" applyFont="1" applyAlignment="1">
      <alignment wrapText="1"/>
    </xf>
    <xf numFmtId="0" fontId="4" fillId="2" borderId="4" xfId="0" applyFont="1" applyFill="1" applyBorder="1" applyAlignment="1">
      <alignment wrapText="1"/>
    </xf>
    <xf numFmtId="0" fontId="2" fillId="0" borderId="0" xfId="0" applyFont="1" applyAlignment="1">
      <alignment vertical="center"/>
    </xf>
    <xf numFmtId="0" fontId="5" fillId="3" borderId="0" xfId="0" applyFont="1" applyFill="1"/>
    <xf numFmtId="0" fontId="0" fillId="3" borderId="0" xfId="0" applyFill="1" applyAlignment="1">
      <alignment vertical="center"/>
    </xf>
    <xf numFmtId="0" fontId="6" fillId="0" borderId="0" xfId="0" applyFont="1"/>
    <xf numFmtId="0" fontId="0" fillId="3" borderId="0" xfId="0" applyFill="1"/>
    <xf numFmtId="0" fontId="3" fillId="3" borderId="0" xfId="0" applyFont="1" applyFill="1" applyAlignment="1">
      <alignment wrapText="1"/>
    </xf>
    <xf numFmtId="0" fontId="3" fillId="3" borderId="3" xfId="0" applyFont="1" applyFill="1" applyBorder="1" applyAlignment="1">
      <alignment wrapText="1"/>
    </xf>
    <xf numFmtId="0" fontId="7" fillId="0" borderId="0" xfId="0" applyFont="1" applyAlignment="1">
      <alignment wrapText="1"/>
    </xf>
    <xf numFmtId="0" fontId="2" fillId="0" borderId="4" xfId="0" applyFont="1" applyBorder="1" applyAlignment="1">
      <alignment wrapText="1"/>
    </xf>
    <xf numFmtId="0" fontId="3" fillId="0" borderId="0" xfId="0" applyFont="1" applyAlignment="1">
      <alignment horizontal="center" vertical="center" wrapText="1"/>
    </xf>
    <xf numFmtId="0" fontId="2" fillId="0" borderId="0" xfId="0" applyFont="1" applyAlignment="1">
      <alignment horizontal="left" wrapText="1"/>
    </xf>
    <xf numFmtId="0" fontId="3" fillId="0" borderId="0" xfId="0" applyFont="1" applyAlignment="1">
      <alignment horizontal="center" wrapText="1"/>
    </xf>
    <xf numFmtId="0" fontId="3" fillId="0" borderId="0" xfId="0" applyFont="1" applyAlignment="1">
      <alignment horizontal="right" vertical="center" wrapText="1"/>
    </xf>
    <xf numFmtId="0" fontId="2" fillId="0" borderId="0" xfId="0" applyFont="1" applyAlignment="1">
      <alignment wrapText="1"/>
    </xf>
    <xf numFmtId="0" fontId="8" fillId="0" borderId="0" xfId="0" applyFont="1" applyAlignment="1">
      <alignment horizontal="center" vertical="center" wrapText="1"/>
    </xf>
    <xf numFmtId="0" fontId="9"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center"/>
    </xf>
    <xf numFmtId="31" fontId="10" fillId="0" borderId="0" xfId="0" applyNumberFormat="1" applyFont="1" applyAlignment="1">
      <alignment horizontal="center" vertical="center"/>
    </xf>
    <xf numFmtId="0" fontId="9" fillId="0" borderId="0" xfId="0" applyFont="1"/>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0" xfId="0" applyFont="1" applyAlignment="1">
      <alignment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3" fillId="0" borderId="3" xfId="0" applyFont="1" applyBorder="1" applyAlignment="1">
      <alignment horizontal="center" vertical="center" wrapText="1"/>
    </xf>
    <xf numFmtId="0" fontId="10" fillId="0" borderId="3" xfId="0" applyFont="1" applyBorder="1" applyAlignment="1">
      <alignment horizontal="left" vertical="center" wrapText="1"/>
    </xf>
    <xf numFmtId="0" fontId="14" fillId="0" borderId="3" xfId="0" applyFont="1" applyBorder="1" applyAlignment="1">
      <alignment horizontal="center" vertical="center" wrapText="1"/>
    </xf>
    <xf numFmtId="0" fontId="12" fillId="0" borderId="3" xfId="0" applyFont="1" applyBorder="1" applyAlignment="1">
      <alignment vertical="center" wrapText="1"/>
    </xf>
    <xf numFmtId="0" fontId="3" fillId="0" borderId="3" xfId="0" applyFont="1" applyBorder="1" applyAlignment="1">
      <alignment horizontal="center" vertical="center" wrapText="1"/>
    </xf>
    <xf numFmtId="0" fontId="14" fillId="0" borderId="3" xfId="0" applyFont="1" applyBorder="1" applyAlignment="1">
      <alignment horizontal="left"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3" fillId="0" borderId="3" xfId="0" applyFont="1" applyBorder="1" applyAlignment="1">
      <alignment horizontal="left" vertical="center" wrapText="1"/>
    </xf>
    <xf numFmtId="0" fontId="15" fillId="0" borderId="3" xfId="0" applyFont="1" applyBorder="1" applyAlignment="1">
      <alignment vertical="center" wrapText="1"/>
    </xf>
    <xf numFmtId="0" fontId="7"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2" xfId="0" applyFont="1" applyBorder="1" applyAlignment="1">
      <alignment wrapText="1"/>
    </xf>
    <xf numFmtId="0" fontId="16" fillId="0" borderId="3" xfId="0" applyFont="1" applyBorder="1" applyAlignment="1">
      <alignment wrapText="1"/>
    </xf>
    <xf numFmtId="0" fontId="17" fillId="0" borderId="3" xfId="0" applyFont="1" applyBorder="1" applyAlignment="1">
      <alignment vertical="center" wrapText="1"/>
    </xf>
    <xf numFmtId="0" fontId="2" fillId="0" borderId="3" xfId="0" applyFont="1" applyBorder="1" applyAlignment="1">
      <alignment vertical="center" wrapText="1"/>
    </xf>
    <xf numFmtId="0" fontId="2" fillId="0" borderId="12" xfId="0" applyFont="1" applyBorder="1" applyAlignment="1">
      <alignment wrapText="1"/>
    </xf>
    <xf numFmtId="0" fontId="18" fillId="0" borderId="3" xfId="0" applyFont="1" applyBorder="1" applyAlignment="1">
      <alignment vertical="center" wrapText="1"/>
    </xf>
    <xf numFmtId="0" fontId="16" fillId="0" borderId="3" xfId="0" applyFont="1" applyBorder="1" applyAlignment="1">
      <alignment horizontal="left" vertical="center" wrapText="1"/>
    </xf>
    <xf numFmtId="0" fontId="16" fillId="0" borderId="0" xfId="0" applyFont="1" applyAlignment="1">
      <alignment wrapText="1"/>
    </xf>
    <xf numFmtId="0" fontId="2" fillId="0" borderId="3" xfId="0" applyFont="1" applyBorder="1" applyAlignment="1">
      <alignment horizontal="left" vertical="center" wrapText="1"/>
    </xf>
    <xf numFmtId="0" fontId="14" fillId="2" borderId="3"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2" fillId="2" borderId="3" xfId="0" applyFont="1" applyFill="1" applyBorder="1" applyAlignment="1">
      <alignment vertical="center" wrapText="1"/>
    </xf>
    <xf numFmtId="0" fontId="14" fillId="2" borderId="4" xfId="0" applyFont="1" applyFill="1" applyBorder="1" applyAlignment="1">
      <alignment wrapText="1"/>
    </xf>
    <xf numFmtId="0" fontId="13" fillId="0" borderId="3" xfId="0" applyFont="1" applyBorder="1" applyAlignment="1">
      <alignment horizontal="left" vertical="center" wrapText="1"/>
    </xf>
    <xf numFmtId="0" fontId="15" fillId="0" borderId="3" xfId="0" applyFont="1" applyBorder="1" applyAlignment="1">
      <alignment horizontal="left" vertical="center" wrapText="1"/>
    </xf>
    <xf numFmtId="0" fontId="14" fillId="3" borderId="3" xfId="0" applyFont="1" applyFill="1" applyBorder="1" applyAlignment="1">
      <alignment vertical="center"/>
    </xf>
    <xf numFmtId="0" fontId="14" fillId="0" borderId="0" xfId="0" applyFont="1" applyAlignment="1">
      <alignment wrapText="1"/>
    </xf>
    <xf numFmtId="0" fontId="19" fillId="2" borderId="3" xfId="0" applyFont="1" applyFill="1" applyBorder="1" applyAlignment="1">
      <alignment horizontal="center" vertical="center" wrapText="1"/>
    </xf>
    <xf numFmtId="0" fontId="20" fillId="2" borderId="3" xfId="0" applyFont="1" applyFill="1" applyBorder="1" applyAlignment="1">
      <alignment horizontal="left" vertical="center" wrapText="1"/>
    </xf>
    <xf numFmtId="0" fontId="21" fillId="2" borderId="3"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3" fillId="2" borderId="3" xfId="0" applyFont="1" applyFill="1" applyBorder="1" applyAlignment="1">
      <alignment vertical="center" wrapText="1"/>
    </xf>
    <xf numFmtId="0" fontId="19" fillId="2" borderId="4" xfId="0" applyFont="1" applyFill="1" applyBorder="1" applyAlignment="1">
      <alignment wrapText="1"/>
    </xf>
    <xf numFmtId="0" fontId="10" fillId="0" borderId="13" xfId="0" applyFont="1" applyBorder="1" applyAlignment="1">
      <alignment horizontal="left" vertical="center" wrapText="1"/>
    </xf>
    <xf numFmtId="0" fontId="10" fillId="0" borderId="14" xfId="0" applyFont="1" applyBorder="1" applyAlignment="1">
      <alignment horizontal="left" vertical="center" wrapText="1"/>
    </xf>
    <xf numFmtId="0" fontId="10" fillId="0" borderId="12" xfId="0" applyFont="1" applyBorder="1" applyAlignment="1">
      <alignment horizontal="left" vertical="center" wrapText="1"/>
    </xf>
    <xf numFmtId="0" fontId="13" fillId="0" borderId="13" xfId="0" applyFont="1" applyBorder="1" applyAlignment="1">
      <alignment horizontal="left" vertical="center" wrapText="1"/>
    </xf>
    <xf numFmtId="0" fontId="13" fillId="0" borderId="14" xfId="0" applyFont="1" applyBorder="1" applyAlignment="1">
      <alignment horizontal="left" vertical="center" wrapText="1"/>
    </xf>
    <xf numFmtId="0" fontId="13" fillId="0" borderId="12" xfId="0" applyFont="1" applyBorder="1" applyAlignment="1">
      <alignment horizontal="left" vertical="center" wrapText="1"/>
    </xf>
    <xf numFmtId="0" fontId="24" fillId="0" borderId="3" xfId="0" applyFont="1" applyBorder="1" applyAlignment="1">
      <alignment vertical="center" wrapText="1"/>
    </xf>
    <xf numFmtId="0" fontId="16" fillId="0" borderId="3" xfId="0" applyFont="1" applyBorder="1" applyAlignment="1">
      <alignment horizontal="center" vertical="center" wrapText="1"/>
    </xf>
    <xf numFmtId="0" fontId="14" fillId="3" borderId="3" xfId="0" applyFont="1" applyFill="1" applyBorder="1" applyAlignment="1">
      <alignment horizontal="center" vertical="center"/>
    </xf>
    <xf numFmtId="0" fontId="12" fillId="3" borderId="3" xfId="0" applyFont="1" applyFill="1" applyBorder="1" applyAlignment="1">
      <alignment horizontal="left" vertical="center"/>
    </xf>
    <xf numFmtId="0" fontId="12" fillId="0" borderId="0" xfId="0" applyFont="1" applyAlignment="1">
      <alignment vertical="center"/>
    </xf>
    <xf numFmtId="0" fontId="25" fillId="0" borderId="3" xfId="0" applyFont="1" applyBorder="1" applyAlignment="1">
      <alignment horizontal="center" vertical="center" wrapText="1"/>
    </xf>
    <xf numFmtId="0" fontId="26" fillId="3" borderId="0" xfId="0" applyFont="1" applyFill="1" applyAlignment="1">
      <alignment wrapText="1"/>
    </xf>
    <xf numFmtId="0" fontId="9" fillId="3" borderId="0" xfId="0" applyFont="1" applyFill="1" applyAlignment="1">
      <alignment vertical="center"/>
    </xf>
    <xf numFmtId="177" fontId="14" fillId="0" borderId="3" xfId="0" applyNumberFormat="1" applyFont="1" applyBorder="1" applyAlignment="1">
      <alignment horizontal="center" vertical="center" wrapText="1"/>
    </xf>
    <xf numFmtId="177" fontId="14" fillId="2" borderId="3" xfId="0" applyNumberFormat="1" applyFont="1" applyFill="1" applyBorder="1" applyAlignment="1">
      <alignment horizontal="center" vertical="center" wrapText="1"/>
    </xf>
    <xf numFmtId="0" fontId="14" fillId="2" borderId="3" xfId="0" applyFont="1" applyFill="1" applyBorder="1" applyAlignment="1">
      <alignment vertical="center" wrapText="1"/>
    </xf>
    <xf numFmtId="0" fontId="14" fillId="3" borderId="3" xfId="0" applyFont="1" applyFill="1" applyBorder="1" applyAlignment="1">
      <alignment horizontal="center" vertical="center" wrapText="1"/>
    </xf>
    <xf numFmtId="0" fontId="13" fillId="3" borderId="13" xfId="0" applyFont="1" applyFill="1" applyBorder="1" applyAlignment="1">
      <alignment horizontal="left" vertical="center" wrapText="1"/>
    </xf>
    <xf numFmtId="0" fontId="13" fillId="3" borderId="14" xfId="0" applyFont="1" applyFill="1" applyBorder="1" applyAlignment="1">
      <alignment horizontal="left" vertical="center" wrapText="1"/>
    </xf>
    <xf numFmtId="0" fontId="13" fillId="3" borderId="12" xfId="0" applyFont="1" applyFill="1" applyBorder="1" applyAlignment="1">
      <alignment horizontal="left" vertical="center" wrapText="1"/>
    </xf>
    <xf numFmtId="0" fontId="14" fillId="3" borderId="0" xfId="0" applyFont="1" applyFill="1" applyAlignment="1">
      <alignment wrapText="1"/>
    </xf>
    <xf numFmtId="10" fontId="13" fillId="0" borderId="3" xfId="0" applyNumberFormat="1" applyFont="1" applyBorder="1" applyAlignment="1">
      <alignment horizontal="left" vertical="center" wrapText="1"/>
    </xf>
    <xf numFmtId="10" fontId="14" fillId="0" borderId="3" xfId="0" applyNumberFormat="1" applyFont="1" applyBorder="1" applyAlignment="1">
      <alignment horizontal="center" vertical="center" wrapText="1"/>
    </xf>
    <xf numFmtId="178" fontId="14" fillId="0" borderId="3" xfId="0" applyNumberFormat="1" applyFont="1" applyBorder="1" applyAlignment="1">
      <alignment horizontal="center" vertical="center" wrapText="1"/>
    </xf>
    <xf numFmtId="0" fontId="12" fillId="0" borderId="12" xfId="0" applyFont="1" applyBorder="1" applyAlignment="1">
      <alignment wrapText="1"/>
    </xf>
    <xf numFmtId="0" fontId="12" fillId="0" borderId="3" xfId="0" applyFont="1" applyBorder="1" applyAlignment="1">
      <alignment wrapText="1"/>
    </xf>
    <xf numFmtId="0" fontId="13" fillId="3" borderId="3" xfId="0" applyFont="1" applyFill="1" applyBorder="1" applyAlignment="1">
      <alignment horizontal="left" vertical="center" wrapText="1"/>
    </xf>
    <xf numFmtId="178" fontId="13" fillId="3" borderId="3" xfId="0" applyNumberFormat="1" applyFont="1" applyFill="1" applyBorder="1" applyAlignment="1">
      <alignment horizontal="center" vertical="center" wrapText="1"/>
    </xf>
    <xf numFmtId="177" fontId="13" fillId="3" borderId="3" xfId="0" applyNumberFormat="1" applyFont="1" applyFill="1" applyBorder="1" applyAlignment="1">
      <alignment horizontal="center" vertical="center" wrapText="1"/>
    </xf>
    <xf numFmtId="178" fontId="14" fillId="3" borderId="3" xfId="0" applyNumberFormat="1" applyFont="1" applyFill="1" applyBorder="1" applyAlignment="1">
      <alignment vertical="center" wrapText="1"/>
    </xf>
    <xf numFmtId="0" fontId="14" fillId="3" borderId="12" xfId="0" applyFont="1" applyFill="1" applyBorder="1" applyAlignment="1">
      <alignment wrapText="1"/>
    </xf>
    <xf numFmtId="0" fontId="14" fillId="3" borderId="3" xfId="0" applyFont="1" applyFill="1" applyBorder="1" applyAlignment="1">
      <alignment wrapText="1"/>
    </xf>
    <xf numFmtId="0" fontId="14" fillId="0" borderId="13" xfId="0" applyFont="1" applyBorder="1" applyAlignment="1">
      <alignment horizontal="left" vertical="center" wrapText="1"/>
    </xf>
    <xf numFmtId="0" fontId="0" fillId="0" borderId="14" xfId="0" applyBorder="1" applyAlignment="1">
      <alignment vertical="center" wrapText="1"/>
    </xf>
    <xf numFmtId="0" fontId="0" fillId="0" borderId="3" xfId="0" applyBorder="1" applyAlignment="1">
      <alignment vertical="center" wrapText="1"/>
    </xf>
    <xf numFmtId="178" fontId="12" fillId="3" borderId="3" xfId="0" applyNumberFormat="1" applyFont="1" applyFill="1" applyBorder="1" applyAlignment="1">
      <alignment vertical="center" wrapText="1"/>
    </xf>
    <xf numFmtId="0" fontId="27" fillId="0" borderId="3" xfId="0" applyFont="1" applyBorder="1" applyAlignment="1">
      <alignment vertical="center" wrapText="1"/>
    </xf>
    <xf numFmtId="0" fontId="12" fillId="3" borderId="3" xfId="0" applyFont="1" applyFill="1" applyBorder="1" applyAlignment="1">
      <alignment vertical="center" wrapText="1"/>
    </xf>
    <xf numFmtId="0" fontId="27" fillId="0" borderId="3" xfId="0" applyFont="1" applyBorder="1" applyAlignment="1">
      <alignment horizontal="left" vertical="center" wrapText="1"/>
    </xf>
    <xf numFmtId="0" fontId="24" fillId="0" borderId="3" xfId="0" applyFont="1" applyBorder="1" applyAlignment="1">
      <alignment horizontal="left" vertical="center" wrapText="1"/>
    </xf>
    <xf numFmtId="0" fontId="15" fillId="0" borderId="0" xfId="0" applyFont="1" applyAlignment="1">
      <alignment wrapText="1"/>
    </xf>
    <xf numFmtId="0" fontId="28" fillId="3" borderId="3" xfId="0" applyFont="1" applyFill="1" applyBorder="1" applyAlignment="1">
      <alignment horizontal="left" vertical="center" wrapText="1"/>
    </xf>
    <xf numFmtId="0" fontId="29" fillId="3" borderId="3" xfId="0" applyFont="1" applyFill="1" applyBorder="1" applyAlignment="1">
      <alignment horizontal="center" vertical="center" wrapText="1"/>
    </xf>
    <xf numFmtId="0" fontId="28" fillId="3" borderId="3" xfId="0" applyFont="1" applyFill="1" applyBorder="1" applyAlignment="1">
      <alignment horizontal="center" vertical="center" wrapText="1"/>
    </xf>
    <xf numFmtId="0" fontId="28" fillId="3" borderId="3" xfId="0" applyFont="1" applyFill="1" applyBorder="1" applyAlignment="1">
      <alignment vertical="center" wrapText="1"/>
    </xf>
    <xf numFmtId="0" fontId="3" fillId="3" borderId="3" xfId="0" applyFont="1" applyFill="1" applyBorder="1"/>
    <xf numFmtId="0" fontId="2" fillId="3" borderId="3" xfId="0" applyFont="1" applyFill="1" applyBorder="1" applyAlignment="1">
      <alignment horizontal="center" vertical="center"/>
    </xf>
    <xf numFmtId="0" fontId="2" fillId="3" borderId="3" xfId="0" applyFont="1" applyFill="1" applyBorder="1"/>
    <xf numFmtId="0" fontId="29" fillId="3" borderId="3" xfId="0" applyFont="1" applyFill="1" applyBorder="1" applyAlignment="1">
      <alignment horizontal="left" vertical="center" wrapText="1"/>
    </xf>
    <xf numFmtId="0" fontId="9" fillId="0" borderId="3" xfId="0" applyFont="1" applyBorder="1" applyAlignment="1">
      <alignment horizontal="center" vertical="center" wrapText="1"/>
    </xf>
    <xf numFmtId="0" fontId="14" fillId="0" borderId="3" xfId="0" applyFont="1" applyBorder="1" applyAlignment="1">
      <alignmen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2" fillId="0" borderId="4" xfId="0" applyFont="1" applyBorder="1" applyAlignment="1">
      <alignment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_设备明细表" xfId="52"/>
    <cellStyle name="千位[0]_设备明细表" xfId="53"/>
    <cellStyle name="千分位[0]_广州平安证券" xfId="54"/>
    <cellStyle name="??|?Revenuenuesy L 2" xfId="55"/>
    <cellStyle name="??|?Revenuenuesy L 3" xfId="56"/>
    <cellStyle name="常规 2" xfId="57"/>
    <cellStyle name="??|?Revenuenuesy L 4" xfId="58"/>
    <cellStyle name="常规 3"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95250</xdr:rowOff>
    </xdr:from>
    <xdr:to>
      <xdr:col>3</xdr:col>
      <xdr:colOff>304800</xdr:colOff>
      <xdr:row>0</xdr:row>
      <xdr:rowOff>504825</xdr:rowOff>
    </xdr:to>
    <xdr:pic>
      <xdr:nvPicPr>
        <xdr:cNvPr id="8198" name="Picture 1026" descr="201207061458410"/>
        <xdr:cNvPicPr>
          <a:picLocks noChangeAspect="1" noChangeArrowheads="1"/>
        </xdr:cNvPicPr>
      </xdr:nvPicPr>
      <xdr:blipFill>
        <a:blip r:embed="rId1" cstate="print">
          <a:lum bright="2000" contrast="2000"/>
        </a:blip>
        <a:srcRect/>
        <a:stretch>
          <a:fillRect/>
        </a:stretch>
      </xdr:blipFill>
      <xdr:spPr>
        <a:xfrm>
          <a:off x="57150" y="95250"/>
          <a:ext cx="2222500" cy="409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M176"/>
  <sheetViews>
    <sheetView tabSelected="1" zoomScale="130" zoomScaleNormal="130" topLeftCell="A118" workbookViewId="0">
      <selection activeCell="G137" sqref="G137"/>
    </sheetView>
  </sheetViews>
  <sheetFormatPr defaultColWidth="9" defaultRowHeight="21" customHeight="1"/>
  <cols>
    <col min="1" max="1" width="4.08333333333333" style="19" customWidth="1"/>
    <col min="2" max="2" width="16.25" style="20" customWidth="1"/>
    <col min="3" max="3" width="5.58333333333333" style="21" customWidth="1"/>
    <col min="4" max="4" width="4.08333333333333" style="21" customWidth="1"/>
    <col min="5" max="5" width="6.25" style="21" customWidth="1"/>
    <col min="6" max="6" width="7.75" style="22" customWidth="1"/>
    <col min="7" max="7" width="6.25" style="21" customWidth="1"/>
    <col min="8" max="8" width="9.08333333333333" style="22" customWidth="1"/>
    <col min="9" max="9" width="74.5" style="23" customWidth="1"/>
    <col min="10" max="16384" width="9" style="23"/>
  </cols>
  <sheetData>
    <row r="1" s="1" customFormat="1" ht="44.25" customHeight="1" spans="1:169">
      <c r="A1" s="24" t="s">
        <v>0</v>
      </c>
      <c r="B1" s="24"/>
      <c r="C1" s="24"/>
      <c r="D1" s="24"/>
      <c r="E1" s="24"/>
      <c r="F1" s="24"/>
      <c r="G1" s="24"/>
      <c r="H1" s="24"/>
      <c r="I1" s="24"/>
      <c r="J1" s="25"/>
      <c r="K1" s="25"/>
      <c r="L1" s="25"/>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row>
    <row r="2" s="2" customFormat="1" ht="17.15" customHeight="1" spans="1:169">
      <c r="A2" s="27" t="s">
        <v>1</v>
      </c>
      <c r="B2" s="28"/>
      <c r="C2" s="28"/>
      <c r="D2" s="28"/>
      <c r="E2" s="28"/>
      <c r="F2" s="28"/>
      <c r="G2" s="28"/>
      <c r="H2" s="28"/>
      <c r="I2" s="29">
        <v>46096</v>
      </c>
      <c r="J2" s="30"/>
      <c r="K2" s="30"/>
      <c r="L2" s="30"/>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row>
    <row r="3" s="3" customFormat="1" ht="17.15" customHeight="1" spans="1:169">
      <c r="A3" s="28" t="s">
        <v>2</v>
      </c>
      <c r="B3" s="28"/>
      <c r="C3" s="28"/>
      <c r="D3" s="28"/>
      <c r="E3" s="28"/>
      <c r="F3" s="28"/>
      <c r="G3" s="28"/>
      <c r="H3" s="28"/>
      <c r="I3" s="28"/>
      <c r="J3" s="28"/>
      <c r="K3" s="28"/>
      <c r="L3" s="30"/>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row>
    <row r="4" ht="9.75" customHeight="1" spans="1:169">
      <c r="A4" s="31" t="s">
        <v>3</v>
      </c>
      <c r="B4" s="31" t="s">
        <v>4</v>
      </c>
      <c r="C4" s="31" t="s">
        <v>5</v>
      </c>
      <c r="D4" s="31" t="s">
        <v>6</v>
      </c>
      <c r="E4" s="32" t="s">
        <v>7</v>
      </c>
      <c r="F4" s="33"/>
      <c r="G4" s="32" t="s">
        <v>8</v>
      </c>
      <c r="H4" s="33"/>
      <c r="I4" s="31" t="s">
        <v>9</v>
      </c>
      <c r="J4" s="34"/>
      <c r="K4" s="34"/>
      <c r="L4" s="34"/>
    </row>
    <row r="5" ht="9.75" customHeight="1" spans="1:169">
      <c r="A5" s="35"/>
      <c r="B5" s="35"/>
      <c r="C5" s="35"/>
      <c r="D5" s="35"/>
      <c r="E5" s="36"/>
      <c r="F5" s="37"/>
      <c r="G5" s="36"/>
      <c r="H5" s="37"/>
      <c r="I5" s="35"/>
      <c r="J5" s="34"/>
      <c r="K5" s="34"/>
      <c r="L5" s="34"/>
    </row>
    <row r="6" ht="8.25" customHeight="1" spans="1:169">
      <c r="A6" s="35"/>
      <c r="B6" s="35"/>
      <c r="C6" s="35"/>
      <c r="D6" s="35"/>
      <c r="E6" s="31" t="s">
        <v>10</v>
      </c>
      <c r="F6" s="31" t="s">
        <v>11</v>
      </c>
      <c r="G6" s="31" t="s">
        <v>10</v>
      </c>
      <c r="H6" s="31" t="s">
        <v>11</v>
      </c>
      <c r="I6" s="35"/>
      <c r="J6" s="34"/>
      <c r="K6" s="34"/>
      <c r="L6" s="34"/>
    </row>
    <row r="7" ht="8.25" customHeight="1" spans="1:169">
      <c r="A7" s="38"/>
      <c r="B7" s="38"/>
      <c r="C7" s="38"/>
      <c r="D7" s="38"/>
      <c r="E7" s="38"/>
      <c r="F7" s="38"/>
      <c r="G7" s="38"/>
      <c r="H7" s="38"/>
      <c r="I7" s="38"/>
      <c r="J7" s="34"/>
      <c r="K7" s="34"/>
      <c r="L7" s="34"/>
    </row>
    <row r="8" ht="16.5" customHeight="1" spans="1:169">
      <c r="A8" s="39" t="s">
        <v>12</v>
      </c>
      <c r="B8" s="40" t="s">
        <v>13</v>
      </c>
      <c r="C8" s="40"/>
      <c r="D8" s="40"/>
      <c r="E8" s="40"/>
      <c r="F8" s="41"/>
      <c r="G8" s="41"/>
      <c r="H8" s="41"/>
      <c r="I8" s="42"/>
      <c r="J8" s="34"/>
      <c r="K8" s="34"/>
      <c r="L8" s="34"/>
    </row>
    <row r="9" ht="15" customHeight="1" spans="1:169">
      <c r="A9" s="43">
        <v>1</v>
      </c>
      <c r="B9" s="44" t="s">
        <v>14</v>
      </c>
      <c r="C9" s="41"/>
      <c r="D9" s="41" t="s">
        <v>15</v>
      </c>
      <c r="E9" s="41">
        <v>70</v>
      </c>
      <c r="F9" s="41">
        <f t="shared" ref="F9:F24" si="0">C9*E9</f>
        <v>0</v>
      </c>
      <c r="G9" s="45">
        <v>25</v>
      </c>
      <c r="H9" s="41">
        <f t="shared" ref="H9:H11" si="1">SUM(G9*C9)</f>
        <v>0</v>
      </c>
      <c r="I9" s="46" t="s">
        <v>16</v>
      </c>
      <c r="J9" s="34"/>
      <c r="K9" s="34"/>
      <c r="L9" s="34"/>
    </row>
    <row r="10" ht="17" customHeight="1" spans="1:169">
      <c r="A10" s="43">
        <v>2</v>
      </c>
      <c r="B10" s="47" t="s">
        <v>17</v>
      </c>
      <c r="C10" s="43"/>
      <c r="D10" s="41" t="s">
        <v>18</v>
      </c>
      <c r="E10" s="43">
        <v>95</v>
      </c>
      <c r="F10" s="41">
        <f t="shared" si="0"/>
        <v>0</v>
      </c>
      <c r="G10" s="43">
        <v>55</v>
      </c>
      <c r="H10" s="41">
        <f t="shared" si="1"/>
        <v>0</v>
      </c>
      <c r="I10" s="42" t="s">
        <v>19</v>
      </c>
    </row>
    <row r="11" s="4" customFormat="1" ht="26.25" customHeight="1" spans="1:169">
      <c r="A11" s="43">
        <v>3</v>
      </c>
      <c r="B11" s="48" t="s">
        <v>20</v>
      </c>
      <c r="C11" s="49"/>
      <c r="D11" s="50" t="s">
        <v>21</v>
      </c>
      <c r="E11" s="50">
        <v>125</v>
      </c>
      <c r="F11" s="50">
        <f t="shared" si="0"/>
        <v>0</v>
      </c>
      <c r="G11" s="50">
        <v>65</v>
      </c>
      <c r="H11" s="50">
        <f t="shared" si="1"/>
        <v>0</v>
      </c>
      <c r="I11" s="51" t="s">
        <v>22</v>
      </c>
      <c r="J11" s="52"/>
      <c r="K11" s="53"/>
      <c r="L11" s="53" t="s">
        <v>23</v>
      </c>
    </row>
    <row r="12" ht="16.5" customHeight="1" spans="1:169">
      <c r="A12" s="43">
        <v>4</v>
      </c>
      <c r="B12" s="44" t="s">
        <v>24</v>
      </c>
      <c r="C12" s="41"/>
      <c r="D12" s="41" t="s">
        <v>25</v>
      </c>
      <c r="E12" s="41">
        <v>38</v>
      </c>
      <c r="F12" s="41">
        <f t="shared" si="0"/>
        <v>0</v>
      </c>
      <c r="G12" s="41">
        <v>22</v>
      </c>
      <c r="H12" s="41">
        <f>C12*G12</f>
        <v>0</v>
      </c>
      <c r="I12" s="42" t="s">
        <v>26</v>
      </c>
      <c r="J12" s="34"/>
      <c r="K12" s="34"/>
      <c r="L12" s="34"/>
    </row>
    <row r="13" s="5" customFormat="1" ht="17.25" customHeight="1" spans="1:169">
      <c r="A13" s="43">
        <v>5</v>
      </c>
      <c r="B13" s="54" t="s">
        <v>27</v>
      </c>
      <c r="C13" s="41"/>
      <c r="D13" s="43" t="s">
        <v>15</v>
      </c>
      <c r="E13" s="43">
        <v>14</v>
      </c>
      <c r="F13" s="41">
        <f t="shared" si="0"/>
        <v>0</v>
      </c>
      <c r="G13" s="43">
        <v>8</v>
      </c>
      <c r="H13" s="41">
        <f>C13*G13</f>
        <v>0</v>
      </c>
      <c r="I13" s="55" t="s">
        <v>28</v>
      </c>
      <c r="J13" s="56"/>
    </row>
    <row r="14" s="5" customFormat="1" ht="17.25" customHeight="1" spans="1:169">
      <c r="A14" s="43">
        <v>6</v>
      </c>
      <c r="B14" s="57" t="s">
        <v>29</v>
      </c>
      <c r="C14" s="41"/>
      <c r="D14" s="43" t="s">
        <v>15</v>
      </c>
      <c r="E14" s="43">
        <v>16</v>
      </c>
      <c r="F14" s="41">
        <f t="shared" si="0"/>
        <v>0</v>
      </c>
      <c r="G14" s="43">
        <v>10</v>
      </c>
      <c r="H14" s="41">
        <f>C14*G14</f>
        <v>0</v>
      </c>
      <c r="I14" s="55" t="s">
        <v>28</v>
      </c>
      <c r="J14" s="56"/>
    </row>
    <row r="15" ht="17.25" customHeight="1" spans="1:169">
      <c r="A15" s="43">
        <v>7</v>
      </c>
      <c r="B15" s="55" t="s">
        <v>30</v>
      </c>
      <c r="C15" s="41"/>
      <c r="D15" s="43" t="s">
        <v>15</v>
      </c>
      <c r="E15" s="43">
        <v>4</v>
      </c>
      <c r="F15" s="41">
        <f t="shared" si="0"/>
        <v>0</v>
      </c>
      <c r="G15" s="43">
        <v>6.5</v>
      </c>
      <c r="H15" s="41">
        <f>C15*G15</f>
        <v>0</v>
      </c>
      <c r="I15" s="55" t="s">
        <v>31</v>
      </c>
    </row>
    <row r="16" s="6" customFormat="1" ht="25" customHeight="1" spans="1:169">
      <c r="A16" s="43">
        <v>8</v>
      </c>
      <c r="B16" s="58" t="s">
        <v>32</v>
      </c>
      <c r="C16" s="50"/>
      <c r="D16" s="50" t="s">
        <v>21</v>
      </c>
      <c r="E16" s="50">
        <v>28</v>
      </c>
      <c r="F16" s="50">
        <f t="shared" si="0"/>
        <v>0</v>
      </c>
      <c r="G16" s="50">
        <v>48</v>
      </c>
      <c r="H16" s="50">
        <f>C16*G16</f>
        <v>0</v>
      </c>
      <c r="I16" s="51" t="s">
        <v>33</v>
      </c>
      <c r="J16" s="59"/>
      <c r="K16" s="59"/>
      <c r="L16" s="59"/>
    </row>
    <row r="17" ht="16.5" customHeight="1" spans="1:12">
      <c r="A17" s="43">
        <v>9</v>
      </c>
      <c r="B17" s="44" t="s">
        <v>34</v>
      </c>
      <c r="C17" s="41"/>
      <c r="D17" s="41" t="s">
        <v>18</v>
      </c>
      <c r="E17" s="41">
        <v>0</v>
      </c>
      <c r="F17" s="41">
        <f t="shared" si="0"/>
        <v>0</v>
      </c>
      <c r="G17" s="41">
        <v>2.5</v>
      </c>
      <c r="H17" s="41">
        <f>SUM(G17*C17)</f>
        <v>0</v>
      </c>
      <c r="I17" s="42" t="s">
        <v>35</v>
      </c>
      <c r="J17" s="34"/>
      <c r="K17" s="34"/>
      <c r="L17" s="34"/>
    </row>
    <row r="18" ht="16.5" customHeight="1" spans="1:12">
      <c r="A18" s="43">
        <v>10</v>
      </c>
      <c r="B18" s="60" t="s">
        <v>36</v>
      </c>
      <c r="C18" s="43"/>
      <c r="D18" s="43" t="s">
        <v>37</v>
      </c>
      <c r="E18" s="43">
        <v>135</v>
      </c>
      <c r="F18" s="41">
        <f t="shared" si="0"/>
        <v>0</v>
      </c>
      <c r="G18" s="43">
        <v>95</v>
      </c>
      <c r="H18" s="41">
        <f>SUM(G18*C18)</f>
        <v>0</v>
      </c>
      <c r="I18" s="55" t="s">
        <v>38</v>
      </c>
    </row>
    <row r="19" ht="16.5" customHeight="1" spans="1:12">
      <c r="A19" s="43">
        <v>11</v>
      </c>
      <c r="B19" s="44" t="s">
        <v>39</v>
      </c>
      <c r="C19" s="41"/>
      <c r="D19" s="43" t="s">
        <v>37</v>
      </c>
      <c r="E19" s="41">
        <v>2</v>
      </c>
      <c r="F19" s="41">
        <f t="shared" si="0"/>
        <v>0</v>
      </c>
      <c r="G19" s="41">
        <v>4</v>
      </c>
      <c r="H19" s="41">
        <f t="shared" ref="H19:H24" si="2">SUM(G19*C19)</f>
        <v>0</v>
      </c>
      <c r="I19" s="42" t="s">
        <v>40</v>
      </c>
      <c r="J19" s="34"/>
      <c r="K19" s="34"/>
      <c r="L19" s="34"/>
    </row>
    <row r="20" ht="27" customHeight="1" spans="1:12">
      <c r="A20" s="43">
        <v>12</v>
      </c>
      <c r="B20" s="44" t="s">
        <v>41</v>
      </c>
      <c r="C20" s="41"/>
      <c r="D20" s="41" t="s">
        <v>18</v>
      </c>
      <c r="E20" s="41">
        <v>19</v>
      </c>
      <c r="F20" s="41">
        <f t="shared" si="0"/>
        <v>0</v>
      </c>
      <c r="G20" s="41">
        <v>13</v>
      </c>
      <c r="H20" s="41">
        <f t="shared" si="2"/>
        <v>0</v>
      </c>
      <c r="I20" s="42" t="s">
        <v>42</v>
      </c>
      <c r="J20" s="34"/>
      <c r="K20" s="34"/>
      <c r="L20" s="34"/>
    </row>
    <row r="21" ht="27" customHeight="1" spans="1:12">
      <c r="A21" s="43">
        <v>13</v>
      </c>
      <c r="B21" s="44" t="s">
        <v>43</v>
      </c>
      <c r="C21" s="41"/>
      <c r="D21" s="41" t="s">
        <v>18</v>
      </c>
      <c r="E21" s="41">
        <v>12</v>
      </c>
      <c r="F21" s="41">
        <f t="shared" si="0"/>
        <v>0</v>
      </c>
      <c r="G21" s="41">
        <v>7</v>
      </c>
      <c r="H21" s="41">
        <f t="shared" si="2"/>
        <v>0</v>
      </c>
      <c r="I21" s="42" t="s">
        <v>44</v>
      </c>
      <c r="J21" s="34"/>
      <c r="K21" s="34"/>
      <c r="L21" s="34"/>
    </row>
    <row r="22" ht="17.15" customHeight="1" spans="1:12">
      <c r="A22" s="43">
        <v>14</v>
      </c>
      <c r="B22" s="44" t="s">
        <v>45</v>
      </c>
      <c r="C22" s="41"/>
      <c r="D22" s="41" t="s">
        <v>46</v>
      </c>
      <c r="E22" s="41">
        <v>160</v>
      </c>
      <c r="F22" s="41">
        <f t="shared" si="0"/>
        <v>0</v>
      </c>
      <c r="G22" s="41">
        <v>360</v>
      </c>
      <c r="H22" s="41">
        <f t="shared" si="2"/>
        <v>0</v>
      </c>
      <c r="I22" s="42" t="s">
        <v>47</v>
      </c>
      <c r="J22" s="34"/>
      <c r="K22" s="34"/>
      <c r="L22" s="34"/>
    </row>
    <row r="23" ht="15" customHeight="1" spans="1:12">
      <c r="A23" s="43">
        <v>15</v>
      </c>
      <c r="B23" s="44" t="s">
        <v>48</v>
      </c>
      <c r="C23" s="41"/>
      <c r="D23" s="41" t="s">
        <v>18</v>
      </c>
      <c r="E23" s="41">
        <v>25</v>
      </c>
      <c r="F23" s="41">
        <f t="shared" si="0"/>
        <v>0</v>
      </c>
      <c r="G23" s="41">
        <v>10</v>
      </c>
      <c r="H23" s="41">
        <f t="shared" si="2"/>
        <v>0</v>
      </c>
      <c r="I23" s="42" t="s">
        <v>49</v>
      </c>
      <c r="J23" s="34"/>
      <c r="K23" s="34"/>
      <c r="L23" s="34"/>
    </row>
    <row r="24" ht="15" customHeight="1" spans="1:12">
      <c r="A24" s="43">
        <v>16</v>
      </c>
      <c r="B24" s="44" t="s">
        <v>50</v>
      </c>
      <c r="C24" s="41"/>
      <c r="D24" s="41" t="s">
        <v>18</v>
      </c>
      <c r="E24" s="41">
        <v>12</v>
      </c>
      <c r="F24" s="41">
        <f t="shared" si="0"/>
        <v>0</v>
      </c>
      <c r="G24" s="41">
        <v>5</v>
      </c>
      <c r="H24" s="41">
        <f t="shared" si="2"/>
        <v>0</v>
      </c>
      <c r="I24" s="42" t="s">
        <v>51</v>
      </c>
      <c r="J24" s="34"/>
      <c r="K24" s="34"/>
      <c r="L24" s="34"/>
    </row>
    <row r="25" s="7" customFormat="1" ht="18" customHeight="1" spans="1:12">
      <c r="A25" s="61"/>
      <c r="B25" s="62" t="s">
        <v>52</v>
      </c>
      <c r="C25" s="61"/>
      <c r="D25" s="61"/>
      <c r="E25" s="61"/>
      <c r="F25" s="61">
        <f>SUM(F9:F24)</f>
        <v>0</v>
      </c>
      <c r="G25" s="61"/>
      <c r="H25" s="61">
        <f>SUM(H9:H24)</f>
        <v>0</v>
      </c>
      <c r="I25" s="63"/>
      <c r="J25" s="64"/>
      <c r="K25" s="64"/>
      <c r="L25" s="64"/>
    </row>
    <row r="26" ht="18" customHeight="1" spans="1:12">
      <c r="A26" s="39" t="s">
        <v>53</v>
      </c>
      <c r="B26" s="65" t="s">
        <v>54</v>
      </c>
      <c r="C26" s="41"/>
      <c r="D26" s="41"/>
      <c r="E26" s="41"/>
      <c r="F26" s="41"/>
      <c r="G26" s="41"/>
      <c r="H26" s="41"/>
      <c r="I26" s="42"/>
      <c r="J26" s="34"/>
      <c r="K26" s="34"/>
      <c r="L26" s="34"/>
    </row>
    <row r="27" s="6" customFormat="1" ht="24" customHeight="1" spans="1:12">
      <c r="A27" s="50">
        <v>1</v>
      </c>
      <c r="B27" s="66" t="s">
        <v>55</v>
      </c>
      <c r="C27" s="50"/>
      <c r="D27" s="50" t="s">
        <v>21</v>
      </c>
      <c r="E27" s="50">
        <v>28</v>
      </c>
      <c r="F27" s="50">
        <f t="shared" ref="F27:F32" si="3">C27*E27</f>
        <v>0</v>
      </c>
      <c r="G27" s="50">
        <v>32</v>
      </c>
      <c r="H27" s="50">
        <f t="shared" ref="H27:H32" si="4">SUM(G27*C27)</f>
        <v>0</v>
      </c>
      <c r="I27" s="51" t="s">
        <v>33</v>
      </c>
      <c r="J27" s="59"/>
      <c r="K27" s="59"/>
      <c r="L27" s="59"/>
    </row>
    <row r="28" s="6" customFormat="1" ht="15" customHeight="1" spans="1:12">
      <c r="A28" s="50">
        <v>2</v>
      </c>
      <c r="B28" s="66" t="s">
        <v>56</v>
      </c>
      <c r="C28" s="50"/>
      <c r="D28" s="50" t="s">
        <v>21</v>
      </c>
      <c r="E28" s="50">
        <v>28</v>
      </c>
      <c r="F28" s="50">
        <f t="shared" si="3"/>
        <v>0</v>
      </c>
      <c r="G28" s="50">
        <v>40</v>
      </c>
      <c r="H28" s="50">
        <f t="shared" si="4"/>
        <v>0</v>
      </c>
      <c r="I28" s="51" t="s">
        <v>57</v>
      </c>
      <c r="J28" s="59"/>
      <c r="K28" s="59"/>
      <c r="L28" s="59"/>
    </row>
    <row r="29" ht="16" customHeight="1" spans="1:12">
      <c r="A29" s="50">
        <v>3</v>
      </c>
      <c r="B29" s="46" t="s">
        <v>58</v>
      </c>
      <c r="C29" s="41"/>
      <c r="D29" s="41" t="s">
        <v>18</v>
      </c>
      <c r="E29" s="41">
        <v>0</v>
      </c>
      <c r="F29" s="41">
        <f t="shared" si="3"/>
        <v>0</v>
      </c>
      <c r="G29" s="41">
        <v>9</v>
      </c>
      <c r="H29" s="41">
        <f t="shared" si="4"/>
        <v>0</v>
      </c>
      <c r="I29" s="42" t="s">
        <v>59</v>
      </c>
      <c r="J29" s="34"/>
      <c r="K29" s="34"/>
      <c r="L29" s="34"/>
    </row>
    <row r="30" s="8" customFormat="1" ht="15" customHeight="1" spans="1:12">
      <c r="A30" s="50">
        <v>4</v>
      </c>
      <c r="B30" s="67" t="s">
        <v>60</v>
      </c>
      <c r="C30" s="41"/>
      <c r="D30" s="41" t="s">
        <v>15</v>
      </c>
      <c r="E30" s="41">
        <v>8</v>
      </c>
      <c r="F30" s="41">
        <f t="shared" si="3"/>
        <v>0</v>
      </c>
      <c r="G30" s="41">
        <v>20</v>
      </c>
      <c r="H30" s="41">
        <f t="shared" si="4"/>
        <v>0</v>
      </c>
      <c r="I30" s="42" t="s">
        <v>61</v>
      </c>
      <c r="J30" s="68"/>
      <c r="K30" s="68"/>
      <c r="L30" s="68"/>
    </row>
    <row r="31" ht="15" customHeight="1" spans="1:12">
      <c r="A31" s="50">
        <v>5</v>
      </c>
      <c r="B31" s="44" t="s">
        <v>34</v>
      </c>
      <c r="C31" s="41"/>
      <c r="D31" s="41" t="s">
        <v>18</v>
      </c>
      <c r="E31" s="41">
        <v>0</v>
      </c>
      <c r="F31" s="41">
        <f t="shared" si="3"/>
        <v>0</v>
      </c>
      <c r="G31" s="41">
        <v>2.5</v>
      </c>
      <c r="H31" s="41">
        <f t="shared" si="4"/>
        <v>0</v>
      </c>
      <c r="I31" s="42" t="s">
        <v>62</v>
      </c>
      <c r="J31" s="34"/>
      <c r="K31" s="34"/>
      <c r="L31" s="34"/>
    </row>
    <row r="32" ht="15" customHeight="1" spans="1:12">
      <c r="A32" s="50">
        <v>6</v>
      </c>
      <c r="B32" s="44" t="s">
        <v>63</v>
      </c>
      <c r="C32" s="41"/>
      <c r="D32" s="41" t="s">
        <v>18</v>
      </c>
      <c r="E32" s="41">
        <v>45</v>
      </c>
      <c r="F32" s="41">
        <f t="shared" si="3"/>
        <v>0</v>
      </c>
      <c r="G32" s="41">
        <v>20</v>
      </c>
      <c r="H32" s="41">
        <f t="shared" si="4"/>
        <v>0</v>
      </c>
      <c r="I32" s="42" t="s">
        <v>64</v>
      </c>
      <c r="J32" s="34"/>
      <c r="K32" s="34"/>
      <c r="L32" s="34"/>
    </row>
    <row r="33" ht="15" customHeight="1" spans="1:12">
      <c r="A33" s="50">
        <v>7</v>
      </c>
      <c r="B33" s="44" t="s">
        <v>50</v>
      </c>
      <c r="C33" s="41"/>
      <c r="D33" s="41" t="s">
        <v>18</v>
      </c>
      <c r="E33" s="41">
        <v>12</v>
      </c>
      <c r="F33" s="41">
        <f t="shared" ref="F33:F44" si="5">C33*E33</f>
        <v>0</v>
      </c>
      <c r="G33" s="41">
        <v>5</v>
      </c>
      <c r="H33" s="41">
        <f t="shared" ref="H33:H44" si="6">SUM(G33*C33)</f>
        <v>0</v>
      </c>
      <c r="I33" s="42" t="s">
        <v>51</v>
      </c>
      <c r="J33" s="34"/>
      <c r="K33" s="34"/>
      <c r="L33" s="34"/>
    </row>
    <row r="34" s="9" customFormat="1" ht="17.25" customHeight="1" spans="1:12">
      <c r="A34" s="69"/>
      <c r="B34" s="70" t="s">
        <v>52</v>
      </c>
      <c r="C34" s="69"/>
      <c r="D34" s="69"/>
      <c r="E34" s="71"/>
      <c r="F34" s="72">
        <f>SUM(F27:F33)</f>
        <v>0</v>
      </c>
      <c r="G34" s="69"/>
      <c r="H34" s="72">
        <f>SUM(H27:H33)</f>
        <v>0</v>
      </c>
      <c r="I34" s="73"/>
      <c r="J34" s="74"/>
      <c r="K34" s="74"/>
      <c r="L34" s="74"/>
    </row>
    <row r="35" ht="17.25" customHeight="1" spans="1:12">
      <c r="A35" s="41" t="s">
        <v>65</v>
      </c>
      <c r="B35" s="65" t="s">
        <v>66</v>
      </c>
      <c r="C35" s="41"/>
      <c r="D35" s="41"/>
      <c r="E35" s="41"/>
      <c r="F35" s="41"/>
      <c r="G35" s="41"/>
      <c r="H35" s="41"/>
      <c r="I35" s="42"/>
      <c r="J35" s="34"/>
      <c r="K35" s="34"/>
      <c r="L35" s="34"/>
    </row>
    <row r="36" s="6" customFormat="1" ht="24" customHeight="1" spans="1:12">
      <c r="A36" s="50">
        <v>1</v>
      </c>
      <c r="B36" s="66" t="s">
        <v>55</v>
      </c>
      <c r="C36" s="50"/>
      <c r="D36" s="50" t="s">
        <v>21</v>
      </c>
      <c r="E36" s="50">
        <v>28</v>
      </c>
      <c r="F36" s="50">
        <f t="shared" si="5"/>
        <v>0</v>
      </c>
      <c r="G36" s="50">
        <v>32</v>
      </c>
      <c r="H36" s="50">
        <f t="shared" si="6"/>
        <v>0</v>
      </c>
      <c r="I36" s="51" t="s">
        <v>33</v>
      </c>
      <c r="J36" s="59"/>
      <c r="K36" s="59"/>
      <c r="L36" s="59"/>
    </row>
    <row r="37" s="6" customFormat="1" ht="14.25" customHeight="1" spans="1:12">
      <c r="A37" s="50">
        <v>2</v>
      </c>
      <c r="B37" s="66" t="s">
        <v>56</v>
      </c>
      <c r="C37" s="50"/>
      <c r="D37" s="50" t="s">
        <v>21</v>
      </c>
      <c r="E37" s="50">
        <v>28</v>
      </c>
      <c r="F37" s="50">
        <f t="shared" si="5"/>
        <v>0</v>
      </c>
      <c r="G37" s="50">
        <v>40</v>
      </c>
      <c r="H37" s="50">
        <f t="shared" si="6"/>
        <v>0</v>
      </c>
      <c r="I37" s="51" t="s">
        <v>57</v>
      </c>
      <c r="J37" s="59"/>
      <c r="K37" s="59"/>
      <c r="L37" s="59"/>
    </row>
    <row r="38" ht="16" customHeight="1" spans="1:12">
      <c r="A38" s="50">
        <v>3</v>
      </c>
      <c r="B38" s="46" t="s">
        <v>58</v>
      </c>
      <c r="C38" s="41"/>
      <c r="D38" s="41" t="s">
        <v>18</v>
      </c>
      <c r="E38" s="41">
        <v>0</v>
      </c>
      <c r="F38" s="41">
        <f t="shared" si="5"/>
        <v>0</v>
      </c>
      <c r="G38" s="41">
        <v>9</v>
      </c>
      <c r="H38" s="41">
        <f t="shared" si="6"/>
        <v>0</v>
      </c>
      <c r="I38" s="42" t="s">
        <v>59</v>
      </c>
      <c r="J38" s="34"/>
      <c r="K38" s="34"/>
      <c r="L38" s="34"/>
    </row>
    <row r="39" s="8" customFormat="1" ht="14.25" customHeight="1" spans="1:12">
      <c r="A39" s="50">
        <v>4</v>
      </c>
      <c r="B39" s="66" t="s">
        <v>60</v>
      </c>
      <c r="C39" s="41"/>
      <c r="D39" s="41" t="s">
        <v>15</v>
      </c>
      <c r="E39" s="41">
        <v>8</v>
      </c>
      <c r="F39" s="41">
        <f t="shared" si="5"/>
        <v>0</v>
      </c>
      <c r="G39" s="41">
        <v>20</v>
      </c>
      <c r="H39" s="41">
        <f t="shared" si="6"/>
        <v>0</v>
      </c>
      <c r="I39" s="42" t="s">
        <v>61</v>
      </c>
      <c r="J39" s="68"/>
      <c r="K39" s="68"/>
      <c r="L39" s="68"/>
    </row>
    <row r="40" ht="14" customHeight="1" spans="1:12">
      <c r="A40" s="50">
        <v>5</v>
      </c>
      <c r="B40" s="44" t="s">
        <v>34</v>
      </c>
      <c r="C40" s="41"/>
      <c r="D40" s="41" t="s">
        <v>18</v>
      </c>
      <c r="E40" s="41"/>
      <c r="F40" s="41">
        <f t="shared" si="5"/>
        <v>0</v>
      </c>
      <c r="G40" s="41">
        <v>2.5</v>
      </c>
      <c r="H40" s="41">
        <f t="shared" si="6"/>
        <v>0</v>
      </c>
      <c r="I40" s="42" t="s">
        <v>62</v>
      </c>
      <c r="J40" s="34"/>
      <c r="K40" s="34"/>
      <c r="L40" s="34"/>
    </row>
    <row r="41" ht="15" customHeight="1" spans="1:12">
      <c r="A41" s="50">
        <v>6</v>
      </c>
      <c r="B41" s="44" t="s">
        <v>63</v>
      </c>
      <c r="C41" s="41"/>
      <c r="D41" s="41" t="s">
        <v>18</v>
      </c>
      <c r="E41" s="41">
        <v>45</v>
      </c>
      <c r="F41" s="41">
        <f t="shared" si="5"/>
        <v>0</v>
      </c>
      <c r="G41" s="41">
        <v>20</v>
      </c>
      <c r="H41" s="41">
        <f t="shared" si="6"/>
        <v>0</v>
      </c>
      <c r="I41" s="42" t="s">
        <v>67</v>
      </c>
      <c r="J41" s="34"/>
      <c r="K41" s="34"/>
      <c r="L41" s="34"/>
    </row>
    <row r="42" ht="14.25" customHeight="1" spans="1:12">
      <c r="A42" s="50">
        <v>7</v>
      </c>
      <c r="B42" s="44" t="s">
        <v>68</v>
      </c>
      <c r="C42" s="41"/>
      <c r="D42" s="41" t="s">
        <v>18</v>
      </c>
      <c r="E42" s="41">
        <v>22</v>
      </c>
      <c r="F42" s="41">
        <f t="shared" si="5"/>
        <v>0</v>
      </c>
      <c r="G42" s="41">
        <v>12</v>
      </c>
      <c r="H42" s="41">
        <f t="shared" si="6"/>
        <v>0</v>
      </c>
      <c r="I42" s="42" t="s">
        <v>69</v>
      </c>
      <c r="J42" s="34"/>
      <c r="K42" s="34"/>
      <c r="L42" s="34"/>
    </row>
    <row r="43" ht="15" customHeight="1" spans="1:12">
      <c r="A43" s="50">
        <v>8</v>
      </c>
      <c r="B43" s="44" t="s">
        <v>70</v>
      </c>
      <c r="C43" s="41"/>
      <c r="D43" s="41" t="s">
        <v>18</v>
      </c>
      <c r="E43" s="41">
        <v>45</v>
      </c>
      <c r="F43" s="41">
        <f t="shared" si="5"/>
        <v>0</v>
      </c>
      <c r="G43" s="41">
        <v>20</v>
      </c>
      <c r="H43" s="41">
        <f t="shared" si="6"/>
        <v>0</v>
      </c>
      <c r="I43" s="42" t="s">
        <v>71</v>
      </c>
      <c r="J43" s="34"/>
      <c r="K43" s="34"/>
      <c r="L43" s="34"/>
    </row>
    <row r="44" ht="15" customHeight="1" spans="1:12">
      <c r="A44" s="50">
        <v>9</v>
      </c>
      <c r="B44" s="44" t="s">
        <v>50</v>
      </c>
      <c r="C44" s="41"/>
      <c r="D44" s="41" t="s">
        <v>18</v>
      </c>
      <c r="E44" s="41">
        <v>12</v>
      </c>
      <c r="F44" s="41">
        <f t="shared" si="5"/>
        <v>0</v>
      </c>
      <c r="G44" s="41">
        <v>5</v>
      </c>
      <c r="H44" s="41">
        <f t="shared" si="6"/>
        <v>0</v>
      </c>
      <c r="I44" s="42" t="s">
        <v>51</v>
      </c>
      <c r="J44" s="34"/>
      <c r="K44" s="34"/>
      <c r="L44" s="34"/>
    </row>
    <row r="45" s="7" customFormat="1" ht="18" customHeight="1" spans="1:12">
      <c r="A45" s="61"/>
      <c r="B45" s="62" t="s">
        <v>52</v>
      </c>
      <c r="C45" s="61"/>
      <c r="D45" s="61"/>
      <c r="E45" s="61"/>
      <c r="F45" s="61">
        <f>SUM(F36:F44)</f>
        <v>0</v>
      </c>
      <c r="G45" s="61"/>
      <c r="H45" s="61">
        <f>SUM(H36:H44)</f>
        <v>0</v>
      </c>
      <c r="I45" s="63"/>
      <c r="J45" s="64"/>
      <c r="K45" s="64"/>
      <c r="L45" s="64"/>
    </row>
    <row r="46" ht="18.75" customHeight="1" spans="1:12">
      <c r="A46" s="39" t="s">
        <v>72</v>
      </c>
      <c r="B46" s="75" t="s">
        <v>73</v>
      </c>
      <c r="C46" s="76"/>
      <c r="D46" s="76"/>
      <c r="E46" s="77"/>
      <c r="F46" s="41"/>
      <c r="G46" s="41"/>
      <c r="H46" s="41"/>
      <c r="I46" s="42"/>
      <c r="J46" s="34"/>
      <c r="K46" s="34"/>
      <c r="L46" s="34"/>
    </row>
    <row r="47" s="6" customFormat="1" ht="24" customHeight="1" spans="1:12">
      <c r="A47" s="50">
        <v>1</v>
      </c>
      <c r="B47" s="66" t="s">
        <v>55</v>
      </c>
      <c r="C47" s="50"/>
      <c r="D47" s="50" t="s">
        <v>21</v>
      </c>
      <c r="E47" s="50">
        <v>28</v>
      </c>
      <c r="F47" s="50">
        <f>C47*E47</f>
        <v>0</v>
      </c>
      <c r="G47" s="50">
        <v>32</v>
      </c>
      <c r="H47" s="50">
        <f>SUM(G47*C47)</f>
        <v>0</v>
      </c>
      <c r="I47" s="51" t="s">
        <v>33</v>
      </c>
      <c r="J47" s="59"/>
      <c r="K47" s="59"/>
      <c r="L47" s="59"/>
    </row>
    <row r="48" s="6" customFormat="1" ht="14" customHeight="1" spans="1:12">
      <c r="A48" s="50">
        <v>2</v>
      </c>
      <c r="B48" s="44" t="s">
        <v>34</v>
      </c>
      <c r="C48" s="41"/>
      <c r="D48" s="41" t="s">
        <v>18</v>
      </c>
      <c r="E48" s="41"/>
      <c r="F48" s="41">
        <f t="shared" ref="F48:F53" si="7">C48*E48</f>
        <v>0</v>
      </c>
      <c r="G48" s="41">
        <v>2.5</v>
      </c>
      <c r="H48" s="41">
        <f t="shared" ref="H48:H53" si="8">SUM(G48*C48)</f>
        <v>0</v>
      </c>
      <c r="I48" s="42" t="s">
        <v>62</v>
      </c>
      <c r="J48" s="34"/>
      <c r="K48" s="34"/>
      <c r="L48" s="34"/>
    </row>
    <row r="49" ht="17" customHeight="1" spans="1:12">
      <c r="A49" s="50">
        <v>3</v>
      </c>
      <c r="B49" s="47" t="s">
        <v>17</v>
      </c>
      <c r="C49" s="43"/>
      <c r="D49" s="41" t="s">
        <v>18</v>
      </c>
      <c r="E49" s="43">
        <v>95</v>
      </c>
      <c r="F49" s="41">
        <f t="shared" si="7"/>
        <v>0</v>
      </c>
      <c r="G49" s="43">
        <v>55</v>
      </c>
      <c r="H49" s="41">
        <f t="shared" si="8"/>
        <v>0</v>
      </c>
      <c r="I49" s="42" t="s">
        <v>19</v>
      </c>
    </row>
    <row r="50" ht="16.5" customHeight="1" spans="1:12">
      <c r="A50" s="50">
        <v>4</v>
      </c>
      <c r="B50" s="44" t="s">
        <v>39</v>
      </c>
      <c r="C50" s="41"/>
      <c r="D50" s="43" t="s">
        <v>37</v>
      </c>
      <c r="E50" s="41">
        <v>2</v>
      </c>
      <c r="F50" s="41">
        <f t="shared" si="7"/>
        <v>0</v>
      </c>
      <c r="G50" s="41">
        <v>4</v>
      </c>
      <c r="H50" s="41">
        <f t="shared" si="8"/>
        <v>0</v>
      </c>
      <c r="I50" s="42" t="s">
        <v>40</v>
      </c>
      <c r="J50" s="34"/>
      <c r="K50" s="34"/>
      <c r="L50" s="34"/>
    </row>
    <row r="51" ht="26.25" customHeight="1" spans="1:12">
      <c r="A51" s="50">
        <v>5</v>
      </c>
      <c r="B51" s="44" t="s">
        <v>41</v>
      </c>
      <c r="C51" s="41"/>
      <c r="D51" s="41" t="s">
        <v>18</v>
      </c>
      <c r="E51" s="41">
        <v>19</v>
      </c>
      <c r="F51" s="41">
        <f t="shared" si="7"/>
        <v>0</v>
      </c>
      <c r="G51" s="41">
        <v>13</v>
      </c>
      <c r="H51" s="41">
        <f t="shared" si="8"/>
        <v>0</v>
      </c>
      <c r="I51" s="42" t="s">
        <v>42</v>
      </c>
      <c r="J51" s="34"/>
      <c r="K51" s="34"/>
      <c r="L51" s="34"/>
    </row>
    <row r="52" ht="27" customHeight="1" spans="1:12">
      <c r="A52" s="50">
        <v>6</v>
      </c>
      <c r="B52" s="44" t="s">
        <v>43</v>
      </c>
      <c r="C52" s="41"/>
      <c r="D52" s="41" t="s">
        <v>18</v>
      </c>
      <c r="E52" s="41">
        <v>12</v>
      </c>
      <c r="F52" s="41">
        <f t="shared" si="7"/>
        <v>0</v>
      </c>
      <c r="G52" s="41">
        <v>7</v>
      </c>
      <c r="H52" s="41">
        <f t="shared" si="8"/>
        <v>0</v>
      </c>
      <c r="I52" s="42" t="s">
        <v>44</v>
      </c>
      <c r="J52" s="34"/>
      <c r="K52" s="34"/>
      <c r="L52" s="34"/>
    </row>
    <row r="53" ht="15" customHeight="1" spans="1:12">
      <c r="A53" s="50">
        <v>7</v>
      </c>
      <c r="B53" s="44" t="s">
        <v>50</v>
      </c>
      <c r="C53" s="41"/>
      <c r="D53" s="41" t="s">
        <v>18</v>
      </c>
      <c r="E53" s="41">
        <v>12</v>
      </c>
      <c r="F53" s="41">
        <f t="shared" si="7"/>
        <v>0</v>
      </c>
      <c r="G53" s="41">
        <v>5</v>
      </c>
      <c r="H53" s="41">
        <f t="shared" si="8"/>
        <v>0</v>
      </c>
      <c r="I53" s="42" t="s">
        <v>51</v>
      </c>
      <c r="J53" s="34"/>
      <c r="K53" s="34"/>
      <c r="L53" s="34"/>
    </row>
    <row r="54" s="7" customFormat="1" ht="18" customHeight="1" spans="1:12">
      <c r="A54" s="61"/>
      <c r="B54" s="62" t="s">
        <v>52</v>
      </c>
      <c r="C54" s="61"/>
      <c r="D54" s="61"/>
      <c r="E54" s="61"/>
      <c r="F54" s="61">
        <f>SUM(F47:F53)</f>
        <v>0</v>
      </c>
      <c r="G54" s="61"/>
      <c r="H54" s="61">
        <f>SUM(H47:H53)</f>
        <v>0</v>
      </c>
      <c r="I54" s="63"/>
      <c r="J54" s="64"/>
      <c r="K54" s="64"/>
      <c r="L54" s="64"/>
    </row>
    <row r="55" ht="18" customHeight="1" spans="1:12">
      <c r="A55" s="39" t="s">
        <v>74</v>
      </c>
      <c r="B55" s="40" t="s">
        <v>75</v>
      </c>
      <c r="C55" s="41"/>
      <c r="D55" s="41"/>
      <c r="E55" s="41"/>
      <c r="F55" s="41"/>
      <c r="G55" s="41"/>
      <c r="H55" s="41"/>
      <c r="I55" s="42"/>
      <c r="J55" s="34"/>
      <c r="K55" s="34"/>
      <c r="L55" s="34"/>
    </row>
    <row r="56" s="6" customFormat="1" ht="27" customHeight="1" spans="1:12">
      <c r="A56" s="50">
        <v>1</v>
      </c>
      <c r="B56" s="66" t="s">
        <v>55</v>
      </c>
      <c r="C56" s="50"/>
      <c r="D56" s="50" t="s">
        <v>21</v>
      </c>
      <c r="E56" s="50">
        <v>28</v>
      </c>
      <c r="F56" s="50">
        <f t="shared" ref="F56:F58" si="9">C56*E56</f>
        <v>0</v>
      </c>
      <c r="G56" s="50">
        <v>32</v>
      </c>
      <c r="H56" s="50">
        <f t="shared" ref="H56:H58" si="10">SUM(G56*C56)</f>
        <v>0</v>
      </c>
      <c r="I56" s="51" t="s">
        <v>33</v>
      </c>
      <c r="J56" s="59"/>
      <c r="K56" s="59"/>
      <c r="L56" s="59"/>
    </row>
    <row r="57" s="6" customFormat="1" ht="15" customHeight="1" spans="1:12">
      <c r="A57" s="50">
        <v>2</v>
      </c>
      <c r="B57" s="66" t="s">
        <v>56</v>
      </c>
      <c r="C57" s="50"/>
      <c r="D57" s="50" t="s">
        <v>21</v>
      </c>
      <c r="E57" s="50">
        <v>28</v>
      </c>
      <c r="F57" s="50">
        <f t="shared" si="9"/>
        <v>0</v>
      </c>
      <c r="G57" s="50">
        <v>40</v>
      </c>
      <c r="H57" s="50">
        <f t="shared" si="10"/>
        <v>0</v>
      </c>
      <c r="I57" s="51" t="s">
        <v>57</v>
      </c>
      <c r="J57" s="59"/>
      <c r="K57" s="59"/>
      <c r="L57" s="59"/>
    </row>
    <row r="58" ht="16" customHeight="1" spans="1:12">
      <c r="A58" s="50">
        <v>3</v>
      </c>
      <c r="B58" s="46" t="s">
        <v>58</v>
      </c>
      <c r="C58" s="41"/>
      <c r="D58" s="41" t="s">
        <v>18</v>
      </c>
      <c r="E58" s="41">
        <v>0</v>
      </c>
      <c r="F58" s="41">
        <f t="shared" si="9"/>
        <v>0</v>
      </c>
      <c r="G58" s="41">
        <v>9</v>
      </c>
      <c r="H58" s="41">
        <f t="shared" si="10"/>
        <v>0</v>
      </c>
      <c r="I58" s="42" t="s">
        <v>59</v>
      </c>
      <c r="J58" s="34"/>
      <c r="K58" s="34"/>
      <c r="L58" s="34"/>
    </row>
    <row r="59" s="8" customFormat="1" ht="15" customHeight="1" spans="1:12">
      <c r="A59" s="50">
        <v>4</v>
      </c>
      <c r="B59" s="46" t="s">
        <v>60</v>
      </c>
      <c r="C59" s="41"/>
      <c r="D59" s="41" t="s">
        <v>15</v>
      </c>
      <c r="E59" s="41">
        <v>8</v>
      </c>
      <c r="F59" s="41">
        <f t="shared" ref="F59:F64" si="11">C59*E59</f>
        <v>0</v>
      </c>
      <c r="G59" s="41">
        <v>20</v>
      </c>
      <c r="H59" s="41">
        <f t="shared" ref="H59:H64" si="12">SUM(G59*C59)</f>
        <v>0</v>
      </c>
      <c r="I59" s="42" t="s">
        <v>76</v>
      </c>
      <c r="J59" s="68"/>
      <c r="K59" s="68"/>
      <c r="L59" s="68"/>
    </row>
    <row r="60" ht="15" customHeight="1" spans="1:12">
      <c r="A60" s="50">
        <v>5</v>
      </c>
      <c r="B60" s="44" t="s">
        <v>34</v>
      </c>
      <c r="C60" s="41"/>
      <c r="D60" s="41" t="s">
        <v>18</v>
      </c>
      <c r="E60" s="41"/>
      <c r="F60" s="41">
        <f t="shared" si="11"/>
        <v>0</v>
      </c>
      <c r="G60" s="41">
        <v>2.5</v>
      </c>
      <c r="H60" s="41">
        <f t="shared" si="12"/>
        <v>0</v>
      </c>
      <c r="I60" s="42" t="s">
        <v>62</v>
      </c>
      <c r="J60" s="34"/>
      <c r="K60" s="34"/>
      <c r="L60" s="34"/>
    </row>
    <row r="61" ht="15" customHeight="1" spans="1:12">
      <c r="A61" s="50">
        <v>6</v>
      </c>
      <c r="B61" s="44" t="s">
        <v>63</v>
      </c>
      <c r="C61" s="41"/>
      <c r="D61" s="41" t="s">
        <v>18</v>
      </c>
      <c r="E61" s="41">
        <v>45</v>
      </c>
      <c r="F61" s="41">
        <f t="shared" si="11"/>
        <v>0</v>
      </c>
      <c r="G61" s="41">
        <v>20</v>
      </c>
      <c r="H61" s="41">
        <f t="shared" si="12"/>
        <v>0</v>
      </c>
      <c r="I61" s="42" t="s">
        <v>67</v>
      </c>
      <c r="J61" s="34"/>
      <c r="K61" s="34"/>
      <c r="L61" s="34"/>
    </row>
    <row r="62" ht="14.25" customHeight="1" spans="1:12">
      <c r="A62" s="50">
        <v>7</v>
      </c>
      <c r="B62" s="44" t="s">
        <v>68</v>
      </c>
      <c r="C62" s="41"/>
      <c r="D62" s="41" t="s">
        <v>18</v>
      </c>
      <c r="E62" s="41">
        <v>22</v>
      </c>
      <c r="F62" s="41">
        <f t="shared" si="11"/>
        <v>0</v>
      </c>
      <c r="G62" s="41">
        <v>12</v>
      </c>
      <c r="H62" s="41">
        <f t="shared" si="12"/>
        <v>0</v>
      </c>
      <c r="I62" s="42" t="s">
        <v>69</v>
      </c>
      <c r="J62" s="34"/>
      <c r="K62" s="34"/>
      <c r="L62" s="34"/>
    </row>
    <row r="63" ht="15" customHeight="1" spans="1:12">
      <c r="A63" s="50">
        <v>8</v>
      </c>
      <c r="B63" s="44" t="s">
        <v>70</v>
      </c>
      <c r="C63" s="41"/>
      <c r="D63" s="41" t="s">
        <v>18</v>
      </c>
      <c r="E63" s="41">
        <v>45</v>
      </c>
      <c r="F63" s="41">
        <f t="shared" si="11"/>
        <v>0</v>
      </c>
      <c r="G63" s="41">
        <v>20</v>
      </c>
      <c r="H63" s="41">
        <f t="shared" si="12"/>
        <v>0</v>
      </c>
      <c r="I63" s="42" t="s">
        <v>71</v>
      </c>
      <c r="J63" s="34"/>
      <c r="K63" s="34"/>
      <c r="L63" s="34"/>
    </row>
    <row r="64" ht="15" customHeight="1" spans="1:12">
      <c r="A64" s="50">
        <v>9</v>
      </c>
      <c r="B64" s="44" t="s">
        <v>50</v>
      </c>
      <c r="C64" s="41"/>
      <c r="D64" s="41" t="s">
        <v>18</v>
      </c>
      <c r="E64" s="41">
        <v>12</v>
      </c>
      <c r="F64" s="41">
        <f t="shared" si="11"/>
        <v>0</v>
      </c>
      <c r="G64" s="41">
        <v>5</v>
      </c>
      <c r="H64" s="41">
        <f t="shared" si="12"/>
        <v>0</v>
      </c>
      <c r="I64" s="42" t="s">
        <v>51</v>
      </c>
      <c r="J64" s="34"/>
      <c r="K64" s="34"/>
      <c r="L64" s="34"/>
    </row>
    <row r="65" s="7" customFormat="1" ht="16.5" customHeight="1" spans="1:12">
      <c r="A65" s="61"/>
      <c r="B65" s="62" t="s">
        <v>52</v>
      </c>
      <c r="C65" s="61"/>
      <c r="D65" s="61"/>
      <c r="E65" s="61"/>
      <c r="F65" s="61">
        <f>SUM(F56:F64)</f>
        <v>0</v>
      </c>
      <c r="G65" s="61"/>
      <c r="H65" s="61">
        <f>SUM(H56:H64)</f>
        <v>0</v>
      </c>
      <c r="I65" s="63"/>
      <c r="J65" s="64"/>
      <c r="K65" s="64"/>
      <c r="L65" s="64"/>
    </row>
    <row r="66" ht="18" customHeight="1" spans="1:12">
      <c r="A66" s="39" t="s">
        <v>77</v>
      </c>
      <c r="B66" s="40" t="s">
        <v>78</v>
      </c>
      <c r="C66" s="41"/>
      <c r="D66" s="41"/>
      <c r="E66" s="41"/>
      <c r="F66" s="41"/>
      <c r="G66" s="41"/>
      <c r="H66" s="41"/>
      <c r="I66" s="42"/>
      <c r="J66" s="34"/>
      <c r="K66" s="34"/>
      <c r="L66" s="34"/>
    </row>
    <row r="67" s="6" customFormat="1" ht="24" customHeight="1" spans="1:12">
      <c r="A67" s="50">
        <v>1</v>
      </c>
      <c r="B67" s="66" t="s">
        <v>55</v>
      </c>
      <c r="C67" s="50"/>
      <c r="D67" s="50" t="s">
        <v>21</v>
      </c>
      <c r="E67" s="50">
        <v>28</v>
      </c>
      <c r="F67" s="50">
        <f t="shared" ref="F67:F70" si="13">C67*E67</f>
        <v>0</v>
      </c>
      <c r="G67" s="50">
        <v>32</v>
      </c>
      <c r="H67" s="50">
        <f t="shared" ref="H67:H73" si="14">SUM(G67*C67)</f>
        <v>0</v>
      </c>
      <c r="I67" s="51" t="s">
        <v>33</v>
      </c>
      <c r="J67" s="59"/>
      <c r="K67" s="59"/>
      <c r="L67" s="59"/>
    </row>
    <row r="68" s="6" customFormat="1" ht="14" customHeight="1" spans="1:12">
      <c r="A68" s="50">
        <v>2</v>
      </c>
      <c r="B68" s="44" t="s">
        <v>34</v>
      </c>
      <c r="C68" s="41"/>
      <c r="D68" s="41" t="s">
        <v>18</v>
      </c>
      <c r="E68" s="41"/>
      <c r="F68" s="41">
        <f t="shared" si="13"/>
        <v>0</v>
      </c>
      <c r="G68" s="41">
        <v>2.5</v>
      </c>
      <c r="H68" s="41">
        <f t="shared" si="14"/>
        <v>0</v>
      </c>
      <c r="I68" s="42" t="s">
        <v>62</v>
      </c>
      <c r="J68" s="34"/>
      <c r="K68" s="34"/>
      <c r="L68" s="34"/>
    </row>
    <row r="69" ht="18" customHeight="1" spans="1:12">
      <c r="A69" s="50">
        <v>3</v>
      </c>
      <c r="B69" s="47" t="s">
        <v>17</v>
      </c>
      <c r="C69" s="43"/>
      <c r="D69" s="41" t="s">
        <v>18</v>
      </c>
      <c r="E69" s="43">
        <v>95</v>
      </c>
      <c r="F69" s="41">
        <f t="shared" si="13"/>
        <v>0</v>
      </c>
      <c r="G69" s="43">
        <v>55</v>
      </c>
      <c r="H69" s="41">
        <f t="shared" si="14"/>
        <v>0</v>
      </c>
      <c r="I69" s="42" t="s">
        <v>19</v>
      </c>
    </row>
    <row r="70" ht="15.75" customHeight="1" spans="1:12">
      <c r="A70" s="50">
        <v>4</v>
      </c>
      <c r="B70" s="44" t="s">
        <v>79</v>
      </c>
      <c r="C70" s="41"/>
      <c r="D70" s="41" t="s">
        <v>15</v>
      </c>
      <c r="E70" s="41">
        <v>65</v>
      </c>
      <c r="F70" s="41">
        <f t="shared" si="13"/>
        <v>0</v>
      </c>
      <c r="G70" s="41">
        <v>85</v>
      </c>
      <c r="H70" s="41">
        <f t="shared" si="14"/>
        <v>0</v>
      </c>
      <c r="I70" s="42" t="s">
        <v>80</v>
      </c>
      <c r="J70" s="34"/>
      <c r="K70" s="34"/>
      <c r="L70" s="34"/>
    </row>
    <row r="71" ht="16.5" customHeight="1" spans="1:12">
      <c r="A71" s="50">
        <v>5</v>
      </c>
      <c r="B71" s="44" t="s">
        <v>39</v>
      </c>
      <c r="C71" s="41"/>
      <c r="D71" s="43" t="s">
        <v>37</v>
      </c>
      <c r="E71" s="41">
        <v>2</v>
      </c>
      <c r="F71" s="41">
        <f t="shared" ref="F71:F74" si="15">C71*E71</f>
        <v>0</v>
      </c>
      <c r="G71" s="41">
        <v>4</v>
      </c>
      <c r="H71" s="41">
        <f t="shared" si="14"/>
        <v>0</v>
      </c>
      <c r="I71" s="42" t="s">
        <v>40</v>
      </c>
      <c r="J71" s="34"/>
      <c r="K71" s="34"/>
      <c r="L71" s="34"/>
    </row>
    <row r="72" ht="26.25" customHeight="1" spans="1:12">
      <c r="A72" s="50">
        <v>6</v>
      </c>
      <c r="B72" s="44" t="s">
        <v>41</v>
      </c>
      <c r="C72" s="41"/>
      <c r="D72" s="41" t="s">
        <v>18</v>
      </c>
      <c r="E72" s="41">
        <v>19</v>
      </c>
      <c r="F72" s="41">
        <f t="shared" si="15"/>
        <v>0</v>
      </c>
      <c r="G72" s="41">
        <v>13</v>
      </c>
      <c r="H72" s="41">
        <f t="shared" si="14"/>
        <v>0</v>
      </c>
      <c r="I72" s="42" t="s">
        <v>42</v>
      </c>
      <c r="J72" s="34"/>
      <c r="K72" s="34"/>
      <c r="L72" s="34"/>
    </row>
    <row r="73" ht="27" customHeight="1" spans="1:12">
      <c r="A73" s="50">
        <v>7</v>
      </c>
      <c r="B73" s="44" t="s">
        <v>43</v>
      </c>
      <c r="C73" s="41"/>
      <c r="D73" s="41" t="s">
        <v>18</v>
      </c>
      <c r="E73" s="41">
        <v>12</v>
      </c>
      <c r="F73" s="41">
        <f t="shared" si="15"/>
        <v>0</v>
      </c>
      <c r="G73" s="41">
        <v>7</v>
      </c>
      <c r="H73" s="41">
        <f t="shared" si="14"/>
        <v>0</v>
      </c>
      <c r="I73" s="42" t="s">
        <v>44</v>
      </c>
      <c r="J73" s="34"/>
      <c r="K73" s="34"/>
      <c r="L73" s="34"/>
    </row>
    <row r="74" ht="15" customHeight="1" spans="1:12">
      <c r="A74" s="50">
        <v>8</v>
      </c>
      <c r="B74" s="44" t="s">
        <v>50</v>
      </c>
      <c r="C74" s="41"/>
      <c r="D74" s="41" t="s">
        <v>18</v>
      </c>
      <c r="E74" s="41">
        <v>12</v>
      </c>
      <c r="F74" s="41">
        <f t="shared" si="15"/>
        <v>0</v>
      </c>
      <c r="G74" s="41">
        <v>5</v>
      </c>
      <c r="H74" s="41">
        <f t="shared" ref="H74:H83" si="16">SUM(G74*C74)</f>
        <v>0</v>
      </c>
      <c r="I74" s="42" t="s">
        <v>51</v>
      </c>
      <c r="J74" s="34"/>
      <c r="K74" s="34"/>
      <c r="L74" s="34"/>
    </row>
    <row r="75" s="7" customFormat="1" ht="18" customHeight="1" spans="1:12">
      <c r="A75" s="61"/>
      <c r="B75" s="62" t="s">
        <v>52</v>
      </c>
      <c r="C75" s="61"/>
      <c r="D75" s="61"/>
      <c r="E75" s="61"/>
      <c r="F75" s="61">
        <f>SUM(F67:F74)</f>
        <v>0</v>
      </c>
      <c r="G75" s="61"/>
      <c r="H75" s="61">
        <f>SUM(H67:H74)</f>
        <v>0</v>
      </c>
      <c r="I75" s="63"/>
      <c r="J75" s="64"/>
      <c r="K75" s="64"/>
      <c r="L75" s="64"/>
    </row>
    <row r="76" ht="18" customHeight="1" spans="1:12">
      <c r="A76" s="39" t="s">
        <v>81</v>
      </c>
      <c r="B76" s="40" t="s">
        <v>82</v>
      </c>
      <c r="C76" s="41"/>
      <c r="D76" s="41"/>
      <c r="E76" s="41"/>
      <c r="F76" s="41"/>
      <c r="G76" s="41"/>
      <c r="H76" s="41"/>
      <c r="I76" s="42"/>
      <c r="J76" s="34"/>
      <c r="K76" s="34"/>
      <c r="L76" s="34"/>
    </row>
    <row r="77" s="6" customFormat="1" ht="24" customHeight="1" spans="1:12">
      <c r="A77" s="50">
        <v>1</v>
      </c>
      <c r="B77" s="66" t="s">
        <v>55</v>
      </c>
      <c r="C77" s="50"/>
      <c r="D77" s="50" t="s">
        <v>21</v>
      </c>
      <c r="E77" s="50">
        <v>28</v>
      </c>
      <c r="F77" s="50">
        <f t="shared" ref="F77:F83" si="17">C77*E77</f>
        <v>0</v>
      </c>
      <c r="G77" s="50">
        <v>32</v>
      </c>
      <c r="H77" s="50">
        <f t="shared" si="16"/>
        <v>0</v>
      </c>
      <c r="I77" s="51" t="s">
        <v>33</v>
      </c>
      <c r="J77" s="59"/>
      <c r="K77" s="59"/>
      <c r="L77" s="59"/>
    </row>
    <row r="78" s="6" customFormat="1" ht="14" customHeight="1" spans="1:12">
      <c r="A78" s="50">
        <v>2</v>
      </c>
      <c r="B78" s="44" t="s">
        <v>34</v>
      </c>
      <c r="C78" s="41"/>
      <c r="D78" s="41" t="s">
        <v>18</v>
      </c>
      <c r="E78" s="41"/>
      <c r="F78" s="41">
        <f t="shared" si="17"/>
        <v>0</v>
      </c>
      <c r="G78" s="41">
        <v>2.5</v>
      </c>
      <c r="H78" s="41">
        <f t="shared" si="16"/>
        <v>0</v>
      </c>
      <c r="I78" s="42" t="s">
        <v>62</v>
      </c>
      <c r="J78" s="34"/>
      <c r="K78" s="34"/>
      <c r="L78" s="34"/>
    </row>
    <row r="79" ht="15.75" customHeight="1" spans="1:12">
      <c r="A79" s="50">
        <v>3</v>
      </c>
      <c r="B79" s="44" t="s">
        <v>79</v>
      </c>
      <c r="C79" s="41"/>
      <c r="D79" s="41" t="s">
        <v>15</v>
      </c>
      <c r="E79" s="41">
        <v>65</v>
      </c>
      <c r="F79" s="41">
        <f t="shared" si="17"/>
        <v>0</v>
      </c>
      <c r="G79" s="41">
        <v>85</v>
      </c>
      <c r="H79" s="41">
        <f t="shared" si="16"/>
        <v>0</v>
      </c>
      <c r="I79" s="42" t="s">
        <v>80</v>
      </c>
      <c r="J79" s="34"/>
      <c r="K79" s="34"/>
      <c r="L79" s="34"/>
    </row>
    <row r="80" ht="16.5" customHeight="1" spans="1:12">
      <c r="A80" s="50">
        <v>4</v>
      </c>
      <c r="B80" s="44" t="s">
        <v>39</v>
      </c>
      <c r="C80" s="41"/>
      <c r="D80" s="43" t="s">
        <v>37</v>
      </c>
      <c r="E80" s="41">
        <v>2</v>
      </c>
      <c r="F80" s="41">
        <f t="shared" si="17"/>
        <v>0</v>
      </c>
      <c r="G80" s="41">
        <v>4</v>
      </c>
      <c r="H80" s="41">
        <f t="shared" si="16"/>
        <v>0</v>
      </c>
      <c r="I80" s="42" t="s">
        <v>40</v>
      </c>
      <c r="J80" s="34"/>
      <c r="K80" s="34"/>
      <c r="L80" s="34"/>
    </row>
    <row r="81" ht="26.25" customHeight="1" spans="1:12">
      <c r="A81" s="50">
        <v>5</v>
      </c>
      <c r="B81" s="44" t="s">
        <v>41</v>
      </c>
      <c r="C81" s="41"/>
      <c r="D81" s="41" t="s">
        <v>18</v>
      </c>
      <c r="E81" s="41">
        <v>19</v>
      </c>
      <c r="F81" s="41">
        <f t="shared" si="17"/>
        <v>0</v>
      </c>
      <c r="G81" s="41">
        <v>13</v>
      </c>
      <c r="H81" s="41">
        <f t="shared" si="16"/>
        <v>0</v>
      </c>
      <c r="I81" s="42" t="s">
        <v>42</v>
      </c>
      <c r="J81" s="34"/>
      <c r="K81" s="34"/>
      <c r="L81" s="34"/>
    </row>
    <row r="82" ht="27" customHeight="1" spans="1:12">
      <c r="A82" s="50">
        <v>6</v>
      </c>
      <c r="B82" s="44" t="s">
        <v>43</v>
      </c>
      <c r="C82" s="41"/>
      <c r="D82" s="41" t="s">
        <v>18</v>
      </c>
      <c r="E82" s="41">
        <v>12</v>
      </c>
      <c r="F82" s="41">
        <f t="shared" si="17"/>
        <v>0</v>
      </c>
      <c r="G82" s="41">
        <v>7</v>
      </c>
      <c r="H82" s="41">
        <f t="shared" si="16"/>
        <v>0</v>
      </c>
      <c r="I82" s="42" t="s">
        <v>44</v>
      </c>
      <c r="J82" s="34"/>
      <c r="K82" s="34"/>
      <c r="L82" s="34"/>
    </row>
    <row r="83" ht="15" customHeight="1" spans="1:12">
      <c r="A83" s="50">
        <v>7</v>
      </c>
      <c r="B83" s="44" t="s">
        <v>50</v>
      </c>
      <c r="C83" s="41"/>
      <c r="D83" s="41" t="s">
        <v>18</v>
      </c>
      <c r="E83" s="41">
        <v>12</v>
      </c>
      <c r="F83" s="41">
        <f t="shared" si="17"/>
        <v>0</v>
      </c>
      <c r="G83" s="41">
        <v>5</v>
      </c>
      <c r="H83" s="41">
        <f t="shared" si="16"/>
        <v>0</v>
      </c>
      <c r="I83" s="42" t="s">
        <v>51</v>
      </c>
      <c r="J83" s="34"/>
      <c r="K83" s="34"/>
      <c r="L83" s="34"/>
    </row>
    <row r="84" s="7" customFormat="1" ht="18" customHeight="1" spans="1:12">
      <c r="A84" s="61"/>
      <c r="B84" s="62" t="s">
        <v>52</v>
      </c>
      <c r="C84" s="61"/>
      <c r="D84" s="61"/>
      <c r="E84" s="61"/>
      <c r="F84" s="61">
        <f>SUM(F77:F83)</f>
        <v>0</v>
      </c>
      <c r="G84" s="61"/>
      <c r="H84" s="61">
        <f>SUM(H77:H83)</f>
        <v>0</v>
      </c>
      <c r="I84" s="63"/>
      <c r="J84" s="64"/>
      <c r="K84" s="64"/>
      <c r="L84" s="64"/>
    </row>
    <row r="85" ht="16.5" customHeight="1" spans="1:12">
      <c r="A85" s="39" t="s">
        <v>83</v>
      </c>
      <c r="B85" s="40" t="s">
        <v>84</v>
      </c>
      <c r="C85" s="41"/>
      <c r="D85" s="41"/>
      <c r="E85" s="41"/>
      <c r="F85" s="41"/>
      <c r="G85" s="41"/>
      <c r="H85" s="41"/>
      <c r="I85" s="42"/>
      <c r="J85" s="34"/>
      <c r="K85" s="34"/>
      <c r="L85" s="34"/>
    </row>
    <row r="86" ht="18" customHeight="1" spans="1:12">
      <c r="A86" s="41" t="s">
        <v>85</v>
      </c>
      <c r="B86" s="78" t="s">
        <v>86</v>
      </c>
      <c r="C86" s="79"/>
      <c r="D86" s="79"/>
      <c r="E86" s="80"/>
      <c r="F86" s="41"/>
      <c r="G86" s="41"/>
      <c r="H86" s="41"/>
      <c r="I86" s="42"/>
      <c r="J86" s="34"/>
      <c r="K86" s="34"/>
      <c r="L86" s="34"/>
    </row>
    <row r="87" s="6" customFormat="1" ht="17.25" customHeight="1" spans="1:12">
      <c r="A87" s="50">
        <v>1</v>
      </c>
      <c r="B87" s="66" t="s">
        <v>87</v>
      </c>
      <c r="C87" s="50"/>
      <c r="D87" s="50" t="s">
        <v>15</v>
      </c>
      <c r="E87" s="50">
        <v>14</v>
      </c>
      <c r="F87" s="50"/>
      <c r="G87" s="50">
        <v>12</v>
      </c>
      <c r="H87" s="50"/>
      <c r="I87" s="51" t="s">
        <v>88</v>
      </c>
      <c r="J87" s="59"/>
      <c r="K87" s="59"/>
      <c r="L87" s="59"/>
    </row>
    <row r="88" s="6" customFormat="1" ht="15" customHeight="1" spans="1:12">
      <c r="A88" s="50">
        <v>2</v>
      </c>
      <c r="B88" s="66" t="s">
        <v>89</v>
      </c>
      <c r="C88" s="50"/>
      <c r="D88" s="50" t="s">
        <v>15</v>
      </c>
      <c r="E88" s="50">
        <v>6</v>
      </c>
      <c r="F88" s="50"/>
      <c r="G88" s="50">
        <v>11</v>
      </c>
      <c r="H88" s="50"/>
      <c r="I88" s="51" t="s">
        <v>90</v>
      </c>
      <c r="J88" s="59"/>
      <c r="K88" s="59"/>
      <c r="L88" s="59"/>
    </row>
    <row r="89" s="6" customFormat="1" ht="15" customHeight="1" spans="1:12">
      <c r="A89" s="50">
        <v>3</v>
      </c>
      <c r="B89" s="66" t="s">
        <v>91</v>
      </c>
      <c r="C89" s="50"/>
      <c r="D89" s="50" t="s">
        <v>15</v>
      </c>
      <c r="E89" s="50">
        <v>6</v>
      </c>
      <c r="F89" s="50"/>
      <c r="G89" s="50">
        <v>11</v>
      </c>
      <c r="H89" s="50"/>
      <c r="I89" s="51" t="s">
        <v>92</v>
      </c>
      <c r="J89" s="59"/>
      <c r="K89" s="59"/>
      <c r="L89" s="59"/>
    </row>
    <row r="90" s="6" customFormat="1" ht="15" customHeight="1" spans="1:12">
      <c r="A90" s="50">
        <v>4</v>
      </c>
      <c r="B90" s="66" t="s">
        <v>93</v>
      </c>
      <c r="C90" s="50"/>
      <c r="D90" s="50" t="s">
        <v>15</v>
      </c>
      <c r="E90" s="50">
        <v>6</v>
      </c>
      <c r="F90" s="50"/>
      <c r="G90" s="50">
        <v>11</v>
      </c>
      <c r="H90" s="50"/>
      <c r="I90" s="51" t="s">
        <v>92</v>
      </c>
      <c r="J90" s="59"/>
      <c r="K90" s="59"/>
      <c r="L90" s="59"/>
    </row>
    <row r="91" s="6" customFormat="1" ht="15" customHeight="1" spans="1:12">
      <c r="A91" s="50">
        <v>5</v>
      </c>
      <c r="B91" s="66" t="s">
        <v>94</v>
      </c>
      <c r="C91" s="50"/>
      <c r="D91" s="50" t="s">
        <v>15</v>
      </c>
      <c r="E91" s="50">
        <v>6</v>
      </c>
      <c r="F91" s="50"/>
      <c r="G91" s="50">
        <v>11</v>
      </c>
      <c r="H91" s="50"/>
      <c r="I91" s="51" t="s">
        <v>92</v>
      </c>
      <c r="J91" s="59"/>
      <c r="K91" s="59"/>
      <c r="L91" s="59"/>
    </row>
    <row r="92" ht="15" customHeight="1" spans="1:12">
      <c r="A92" s="41">
        <v>6</v>
      </c>
      <c r="B92" s="44" t="s">
        <v>95</v>
      </c>
      <c r="C92" s="41"/>
      <c r="D92" s="41" t="s">
        <v>15</v>
      </c>
      <c r="E92" s="41">
        <v>10</v>
      </c>
      <c r="F92" s="41"/>
      <c r="G92" s="41">
        <v>6</v>
      </c>
      <c r="H92" s="41"/>
      <c r="I92" s="42" t="s">
        <v>96</v>
      </c>
      <c r="J92" s="34"/>
      <c r="K92" s="34"/>
      <c r="L92" s="34"/>
    </row>
    <row r="93" ht="15" customHeight="1" spans="1:12">
      <c r="A93" s="41">
        <v>7</v>
      </c>
      <c r="B93" s="44" t="s">
        <v>97</v>
      </c>
      <c r="C93" s="41"/>
      <c r="D93" s="41" t="s">
        <v>46</v>
      </c>
      <c r="E93" s="41">
        <v>75</v>
      </c>
      <c r="F93" s="41"/>
      <c r="G93" s="41">
        <v>45</v>
      </c>
      <c r="H93" s="45"/>
      <c r="I93" s="42" t="s">
        <v>98</v>
      </c>
      <c r="J93" s="34"/>
      <c r="K93" s="34"/>
      <c r="L93" s="34"/>
    </row>
    <row r="94" ht="15" customHeight="1" spans="1:12">
      <c r="A94" s="41">
        <v>8</v>
      </c>
      <c r="B94" s="44" t="s">
        <v>99</v>
      </c>
      <c r="C94" s="41"/>
      <c r="D94" s="41" t="s">
        <v>100</v>
      </c>
      <c r="E94" s="41">
        <v>2</v>
      </c>
      <c r="F94" s="41"/>
      <c r="G94" s="41">
        <v>4</v>
      </c>
      <c r="H94" s="41"/>
      <c r="I94" s="42" t="s">
        <v>101</v>
      </c>
      <c r="J94" s="34"/>
      <c r="K94" s="34"/>
      <c r="L94" s="34"/>
    </row>
    <row r="95" s="6" customFormat="1" ht="22.5" customHeight="1" spans="1:12">
      <c r="A95" s="50">
        <v>9</v>
      </c>
      <c r="B95" s="66" t="s">
        <v>102</v>
      </c>
      <c r="C95" s="50"/>
      <c r="D95" s="50" t="s">
        <v>15</v>
      </c>
      <c r="E95" s="50">
        <v>18</v>
      </c>
      <c r="F95" s="50"/>
      <c r="G95" s="50">
        <v>13</v>
      </c>
      <c r="H95" s="50"/>
      <c r="I95" s="81" t="s">
        <v>103</v>
      </c>
      <c r="J95" s="59"/>
      <c r="K95" s="59"/>
      <c r="L95" s="59"/>
    </row>
    <row r="96" s="6" customFormat="1" ht="22.5" customHeight="1" spans="1:12">
      <c r="A96" s="50">
        <v>10</v>
      </c>
      <c r="B96" s="66" t="s">
        <v>104</v>
      </c>
      <c r="C96" s="50"/>
      <c r="D96" s="50" t="s">
        <v>15</v>
      </c>
      <c r="E96" s="50">
        <v>25</v>
      </c>
      <c r="F96" s="50"/>
      <c r="G96" s="50">
        <v>15</v>
      </c>
      <c r="H96" s="82"/>
      <c r="I96" s="81" t="s">
        <v>105</v>
      </c>
      <c r="J96" s="59"/>
      <c r="K96" s="59"/>
      <c r="L96" s="59"/>
    </row>
    <row r="97" s="6" customFormat="1" ht="22.5" customHeight="1" spans="1:12">
      <c r="A97" s="50">
        <v>11</v>
      </c>
      <c r="B97" s="66" t="s">
        <v>106</v>
      </c>
      <c r="C97" s="50"/>
      <c r="D97" s="50" t="s">
        <v>15</v>
      </c>
      <c r="E97" s="50">
        <v>55</v>
      </c>
      <c r="F97" s="50"/>
      <c r="G97" s="50">
        <v>20</v>
      </c>
      <c r="H97" s="82"/>
      <c r="I97" s="81" t="s">
        <v>107</v>
      </c>
      <c r="J97" s="59"/>
      <c r="K97" s="59"/>
      <c r="L97" s="59"/>
    </row>
    <row r="98" ht="15.75" customHeight="1" spans="1:12">
      <c r="A98" s="41">
        <v>12</v>
      </c>
      <c r="B98" s="44" t="s">
        <v>108</v>
      </c>
      <c r="C98" s="41"/>
      <c r="D98" s="41" t="s">
        <v>46</v>
      </c>
      <c r="E98" s="41">
        <v>150</v>
      </c>
      <c r="F98" s="41"/>
      <c r="G98" s="41">
        <v>180</v>
      </c>
      <c r="H98" s="41"/>
      <c r="I98" s="42" t="s">
        <v>109</v>
      </c>
      <c r="J98" s="34"/>
      <c r="K98" s="34"/>
      <c r="L98" s="34"/>
    </row>
    <row r="99" ht="15.75" customHeight="1" spans="1:12">
      <c r="A99" s="41">
        <v>13</v>
      </c>
      <c r="B99" s="44" t="s">
        <v>110</v>
      </c>
      <c r="C99" s="41"/>
      <c r="D99" s="41" t="s">
        <v>46</v>
      </c>
      <c r="E99" s="41">
        <v>240</v>
      </c>
      <c r="F99" s="41"/>
      <c r="G99" s="41">
        <v>160</v>
      </c>
      <c r="H99" s="41"/>
      <c r="I99" s="42" t="s">
        <v>109</v>
      </c>
      <c r="J99" s="34"/>
      <c r="K99" s="34"/>
      <c r="L99" s="34"/>
    </row>
    <row r="100" ht="22.5" customHeight="1" spans="1:12">
      <c r="A100" s="41">
        <v>14</v>
      </c>
      <c r="B100" s="44" t="s">
        <v>111</v>
      </c>
      <c r="C100" s="41"/>
      <c r="D100" s="41" t="s">
        <v>46</v>
      </c>
      <c r="E100" s="41">
        <v>120</v>
      </c>
      <c r="F100" s="41"/>
      <c r="G100" s="41">
        <v>380</v>
      </c>
      <c r="H100" s="41"/>
      <c r="I100" s="42" t="s">
        <v>112</v>
      </c>
      <c r="J100" s="34"/>
      <c r="K100" s="34"/>
      <c r="L100" s="34"/>
    </row>
    <row r="101" s="10" customFormat="1" ht="16.5" customHeight="1" spans="1:12">
      <c r="A101" s="41">
        <v>15</v>
      </c>
      <c r="B101" s="67" t="s">
        <v>113</v>
      </c>
      <c r="C101" s="83"/>
      <c r="D101" s="41" t="s">
        <v>18</v>
      </c>
      <c r="E101" s="83"/>
      <c r="F101" s="41"/>
      <c r="G101" s="41">
        <v>5</v>
      </c>
      <c r="H101" s="45"/>
      <c r="I101" s="84" t="s">
        <v>114</v>
      </c>
      <c r="J101" s="34"/>
      <c r="K101" s="85"/>
      <c r="L101" s="85"/>
    </row>
    <row r="102" s="7" customFormat="1" ht="16.5" customHeight="1" spans="1:12">
      <c r="A102" s="61"/>
      <c r="B102" s="62" t="s">
        <v>52</v>
      </c>
      <c r="C102" s="61"/>
      <c r="D102" s="61"/>
      <c r="E102" s="61"/>
      <c r="F102" s="61"/>
      <c r="G102" s="61"/>
      <c r="H102" s="61"/>
      <c r="I102" s="63"/>
      <c r="J102" s="64"/>
      <c r="K102" s="64"/>
      <c r="L102" s="64"/>
    </row>
    <row r="103" ht="16.5" customHeight="1" spans="1:12">
      <c r="A103" s="41" t="s">
        <v>115</v>
      </c>
      <c r="B103" s="75" t="s">
        <v>116</v>
      </c>
      <c r="C103" s="76"/>
      <c r="D103" s="76"/>
      <c r="E103" s="77"/>
      <c r="F103" s="41"/>
      <c r="G103" s="41"/>
      <c r="H103" s="41"/>
      <c r="I103" s="42"/>
      <c r="J103" s="34"/>
      <c r="K103" s="34"/>
      <c r="L103" s="34"/>
    </row>
    <row r="104" s="6" customFormat="1" ht="24.75" customHeight="1" spans="1:12">
      <c r="A104" s="50">
        <v>1</v>
      </c>
      <c r="B104" s="66" t="s">
        <v>117</v>
      </c>
      <c r="C104" s="50"/>
      <c r="D104" s="50" t="s">
        <v>15</v>
      </c>
      <c r="E104" s="50">
        <v>36</v>
      </c>
      <c r="F104" s="50"/>
      <c r="G104" s="50">
        <v>33</v>
      </c>
      <c r="H104" s="50"/>
      <c r="I104" s="51" t="s">
        <v>118</v>
      </c>
      <c r="J104" s="59"/>
      <c r="K104" s="59"/>
      <c r="L104" s="59"/>
    </row>
    <row r="105" ht="25.5" customHeight="1" spans="1:12">
      <c r="A105" s="41">
        <v>2</v>
      </c>
      <c r="B105" s="44" t="s">
        <v>119</v>
      </c>
      <c r="C105" s="41"/>
      <c r="D105" s="41" t="s">
        <v>15</v>
      </c>
      <c r="E105" s="41">
        <v>38</v>
      </c>
      <c r="F105" s="41"/>
      <c r="G105" s="41">
        <v>40</v>
      </c>
      <c r="H105" s="41"/>
      <c r="I105" s="42" t="s">
        <v>120</v>
      </c>
      <c r="J105" s="34"/>
      <c r="K105" s="34"/>
      <c r="L105" s="34"/>
    </row>
    <row r="106" ht="24.5" customHeight="1" spans="1:12">
      <c r="A106" s="41">
        <v>3</v>
      </c>
      <c r="B106" s="44" t="s">
        <v>121</v>
      </c>
      <c r="C106" s="41"/>
      <c r="D106" s="41" t="s">
        <v>15</v>
      </c>
      <c r="E106" s="41">
        <v>48</v>
      </c>
      <c r="F106" s="41"/>
      <c r="G106" s="41">
        <v>70</v>
      </c>
      <c r="H106" s="41"/>
      <c r="I106" s="42" t="s">
        <v>120</v>
      </c>
      <c r="J106" s="34"/>
      <c r="K106" s="34"/>
      <c r="L106" s="34"/>
    </row>
    <row r="107" ht="15" customHeight="1" spans="1:12">
      <c r="A107" s="41">
        <v>4</v>
      </c>
      <c r="B107" s="44" t="s">
        <v>122</v>
      </c>
      <c r="C107" s="41"/>
      <c r="D107" s="41" t="s">
        <v>15</v>
      </c>
      <c r="E107" s="41">
        <v>20</v>
      </c>
      <c r="F107" s="41"/>
      <c r="G107" s="41">
        <v>15</v>
      </c>
      <c r="H107" s="41"/>
      <c r="I107" s="42" t="s">
        <v>123</v>
      </c>
      <c r="J107" s="34"/>
      <c r="K107" s="34"/>
      <c r="L107" s="34"/>
    </row>
    <row r="108" ht="15" customHeight="1" spans="1:12">
      <c r="A108" s="41">
        <v>5</v>
      </c>
      <c r="B108" s="44" t="s">
        <v>124</v>
      </c>
      <c r="C108" s="41"/>
      <c r="D108" s="41" t="s">
        <v>100</v>
      </c>
      <c r="E108" s="41">
        <v>135</v>
      </c>
      <c r="F108" s="41"/>
      <c r="G108" s="41">
        <v>35</v>
      </c>
      <c r="H108" s="41"/>
      <c r="I108" s="42" t="s">
        <v>125</v>
      </c>
      <c r="J108" s="34"/>
      <c r="K108" s="34"/>
      <c r="L108" s="34"/>
    </row>
    <row r="109" s="7" customFormat="1" ht="17.15" customHeight="1" spans="1:12">
      <c r="A109" s="61"/>
      <c r="B109" s="62" t="s">
        <v>52</v>
      </c>
      <c r="C109" s="61"/>
      <c r="D109" s="61"/>
      <c r="E109" s="61"/>
      <c r="F109" s="61"/>
      <c r="G109" s="61"/>
      <c r="H109" s="61"/>
      <c r="I109" s="63"/>
      <c r="J109" s="64"/>
      <c r="K109" s="64"/>
      <c r="L109" s="64"/>
    </row>
    <row r="110" ht="17.15" customHeight="1" spans="1:12">
      <c r="A110" s="86" t="s">
        <v>126</v>
      </c>
      <c r="B110" s="40" t="s">
        <v>127</v>
      </c>
      <c r="C110" s="41"/>
      <c r="D110" s="41"/>
      <c r="E110" s="41"/>
      <c r="F110" s="41"/>
      <c r="G110" s="41"/>
      <c r="H110" s="41"/>
      <c r="I110" s="42"/>
      <c r="J110" s="34"/>
      <c r="K110" s="34"/>
      <c r="L110" s="34"/>
    </row>
    <row r="111" ht="14.25" customHeight="1" spans="1:12">
      <c r="A111" s="41">
        <v>1</v>
      </c>
      <c r="B111" s="44" t="s">
        <v>128</v>
      </c>
      <c r="C111" s="41"/>
      <c r="D111" s="41" t="s">
        <v>15</v>
      </c>
      <c r="E111" s="41">
        <v>22</v>
      </c>
      <c r="F111" s="41">
        <f>C111*E111</f>
        <v>0</v>
      </c>
      <c r="G111" s="41">
        <v>25</v>
      </c>
      <c r="H111" s="41">
        <f>SUM(G111*C111)</f>
        <v>0</v>
      </c>
      <c r="I111" s="42" t="s">
        <v>129</v>
      </c>
      <c r="J111" s="34"/>
      <c r="K111" s="34"/>
      <c r="L111" s="34"/>
    </row>
    <row r="112" s="11" customFormat="1" ht="14.25" customHeight="1" spans="1:12">
      <c r="A112" s="41">
        <v>2</v>
      </c>
      <c r="B112" s="44" t="s">
        <v>130</v>
      </c>
      <c r="C112" s="41"/>
      <c r="D112" s="41" t="s">
        <v>18</v>
      </c>
      <c r="E112" s="41">
        <v>160</v>
      </c>
      <c r="F112" s="41">
        <f t="shared" ref="F112:F131" si="18">C112*E112</f>
        <v>0</v>
      </c>
      <c r="G112" s="41">
        <v>125</v>
      </c>
      <c r="H112" s="41">
        <f t="shared" ref="H112:H131" si="19">SUM(G112*C112)</f>
        <v>0</v>
      </c>
      <c r="I112" s="42" t="s">
        <v>131</v>
      </c>
      <c r="J112" s="87"/>
      <c r="K112" s="87"/>
      <c r="L112" s="87"/>
    </row>
    <row r="113" ht="14.25" customHeight="1" spans="1:12">
      <c r="A113" s="41">
        <v>3</v>
      </c>
      <c r="B113" s="44" t="s">
        <v>132</v>
      </c>
      <c r="C113" s="41"/>
      <c r="D113" s="41" t="s">
        <v>18</v>
      </c>
      <c r="E113" s="41">
        <v>95</v>
      </c>
      <c r="F113" s="41">
        <f t="shared" si="18"/>
        <v>0</v>
      </c>
      <c r="G113" s="41">
        <v>75</v>
      </c>
      <c r="H113" s="41">
        <f t="shared" si="19"/>
        <v>0</v>
      </c>
      <c r="I113" s="42" t="s">
        <v>133</v>
      </c>
      <c r="J113" s="34"/>
      <c r="K113" s="34"/>
      <c r="L113" s="34"/>
    </row>
    <row r="114" ht="14.25" customHeight="1" spans="1:12">
      <c r="A114" s="41">
        <v>4</v>
      </c>
      <c r="B114" s="44" t="s">
        <v>134</v>
      </c>
      <c r="C114" s="41"/>
      <c r="D114" s="41" t="s">
        <v>135</v>
      </c>
      <c r="E114" s="41">
        <v>120</v>
      </c>
      <c r="F114" s="41">
        <f t="shared" si="18"/>
        <v>0</v>
      </c>
      <c r="G114" s="41">
        <v>90</v>
      </c>
      <c r="H114" s="41">
        <f t="shared" si="19"/>
        <v>0</v>
      </c>
      <c r="I114" s="42" t="s">
        <v>136</v>
      </c>
      <c r="J114" s="34"/>
      <c r="K114" s="34"/>
      <c r="L114" s="34"/>
    </row>
    <row r="115" ht="14.25" customHeight="1" spans="1:12">
      <c r="A115" s="41">
        <v>5</v>
      </c>
      <c r="B115" s="44" t="s">
        <v>137</v>
      </c>
      <c r="C115" s="41"/>
      <c r="D115" s="41" t="s">
        <v>135</v>
      </c>
      <c r="E115" s="41">
        <v>150</v>
      </c>
      <c r="F115" s="41">
        <f t="shared" si="18"/>
        <v>0</v>
      </c>
      <c r="G115" s="41">
        <v>100</v>
      </c>
      <c r="H115" s="41">
        <f t="shared" si="19"/>
        <v>0</v>
      </c>
      <c r="I115" s="42" t="s">
        <v>136</v>
      </c>
      <c r="J115" s="34"/>
      <c r="K115" s="34"/>
      <c r="L115" s="34"/>
    </row>
    <row r="116" ht="14.25" customHeight="1" spans="1:12">
      <c r="A116" s="41">
        <v>6</v>
      </c>
      <c r="B116" s="44" t="s">
        <v>138</v>
      </c>
      <c r="C116" s="41"/>
      <c r="D116" s="41" t="s">
        <v>46</v>
      </c>
      <c r="E116" s="41">
        <v>120</v>
      </c>
      <c r="F116" s="41">
        <f t="shared" si="18"/>
        <v>0</v>
      </c>
      <c r="G116" s="41">
        <v>320</v>
      </c>
      <c r="H116" s="41">
        <f t="shared" si="19"/>
        <v>0</v>
      </c>
      <c r="I116" s="42" t="s">
        <v>139</v>
      </c>
      <c r="J116" s="34"/>
      <c r="K116" s="34"/>
      <c r="L116" s="34"/>
    </row>
    <row r="117" ht="14.25" customHeight="1" spans="1:12">
      <c r="A117" s="41">
        <v>7</v>
      </c>
      <c r="B117" s="44" t="s">
        <v>140</v>
      </c>
      <c r="C117" s="41"/>
      <c r="D117" s="41" t="s">
        <v>46</v>
      </c>
      <c r="E117" s="41">
        <v>10</v>
      </c>
      <c r="F117" s="41">
        <f t="shared" si="18"/>
        <v>0</v>
      </c>
      <c r="G117" s="41">
        <v>15</v>
      </c>
      <c r="H117" s="41">
        <f t="shared" si="19"/>
        <v>0</v>
      </c>
      <c r="I117" s="42" t="s">
        <v>141</v>
      </c>
      <c r="J117" s="34"/>
      <c r="K117" s="34"/>
      <c r="L117" s="34"/>
    </row>
    <row r="118" s="12" customFormat="1" ht="14.25" customHeight="1" spans="1:12">
      <c r="A118" s="41">
        <v>8</v>
      </c>
      <c r="B118" s="44" t="s">
        <v>142</v>
      </c>
      <c r="C118" s="41"/>
      <c r="D118" s="41" t="s">
        <v>46</v>
      </c>
      <c r="E118" s="41">
        <v>280</v>
      </c>
      <c r="F118" s="41">
        <f t="shared" si="18"/>
        <v>0</v>
      </c>
      <c r="G118" s="41">
        <v>380</v>
      </c>
      <c r="H118" s="41">
        <f t="shared" si="19"/>
        <v>0</v>
      </c>
      <c r="I118" s="42" t="s">
        <v>143</v>
      </c>
      <c r="J118" s="88"/>
      <c r="K118" s="88"/>
      <c r="L118" s="88"/>
    </row>
    <row r="119" s="12" customFormat="1" ht="14.25" customHeight="1" spans="1:12">
      <c r="A119" s="41">
        <v>9</v>
      </c>
      <c r="B119" s="44" t="s">
        <v>144</v>
      </c>
      <c r="C119" s="41"/>
      <c r="D119" s="41" t="s">
        <v>46</v>
      </c>
      <c r="E119" s="41">
        <v>105</v>
      </c>
      <c r="F119" s="41">
        <f t="shared" si="18"/>
        <v>0</v>
      </c>
      <c r="G119" s="41">
        <v>70</v>
      </c>
      <c r="H119" s="41">
        <f t="shared" si="19"/>
        <v>0</v>
      </c>
      <c r="I119" s="42" t="s">
        <v>145</v>
      </c>
      <c r="J119" s="88"/>
      <c r="K119" s="88"/>
      <c r="L119" s="88"/>
    </row>
    <row r="120" s="13" customFormat="1" ht="15" customHeight="1" spans="1:12">
      <c r="A120" s="41">
        <v>10</v>
      </c>
      <c r="B120" s="44" t="s">
        <v>146</v>
      </c>
      <c r="C120" s="50"/>
      <c r="D120" s="50" t="s">
        <v>46</v>
      </c>
      <c r="E120" s="41">
        <v>25</v>
      </c>
      <c r="F120" s="41">
        <f t="shared" si="18"/>
        <v>0</v>
      </c>
      <c r="G120" s="82">
        <v>45</v>
      </c>
      <c r="H120" s="41">
        <f t="shared" si="19"/>
        <v>0</v>
      </c>
      <c r="I120" s="42" t="s">
        <v>147</v>
      </c>
      <c r="J120" s="59"/>
      <c r="K120" s="59"/>
      <c r="L120" s="59"/>
    </row>
    <row r="121" s="13" customFormat="1" ht="15" customHeight="1" spans="1:12">
      <c r="A121" s="41">
        <v>11</v>
      </c>
      <c r="B121" s="44" t="s">
        <v>148</v>
      </c>
      <c r="C121" s="41"/>
      <c r="D121" s="41" t="s">
        <v>46</v>
      </c>
      <c r="E121" s="41">
        <v>45</v>
      </c>
      <c r="F121" s="41">
        <f t="shared" si="18"/>
        <v>0</v>
      </c>
      <c r="G121" s="41">
        <v>90</v>
      </c>
      <c r="H121" s="41">
        <f t="shared" si="19"/>
        <v>0</v>
      </c>
      <c r="I121" s="42" t="s">
        <v>149</v>
      </c>
      <c r="J121" s="34"/>
      <c r="K121" s="34"/>
      <c r="L121" s="34"/>
    </row>
    <row r="122" s="8" customFormat="1" ht="14.15" customHeight="1" spans="1:12">
      <c r="A122" s="41">
        <v>12</v>
      </c>
      <c r="B122" s="44" t="s">
        <v>150</v>
      </c>
      <c r="C122" s="41"/>
      <c r="D122" s="50" t="s">
        <v>15</v>
      </c>
      <c r="E122" s="41">
        <v>65</v>
      </c>
      <c r="F122" s="41">
        <f t="shared" si="18"/>
        <v>0</v>
      </c>
      <c r="G122" s="41">
        <v>100</v>
      </c>
      <c r="H122" s="41">
        <f t="shared" si="19"/>
        <v>0</v>
      </c>
      <c r="I122" s="42" t="s">
        <v>151</v>
      </c>
      <c r="J122"/>
      <c r="K122"/>
      <c r="L122"/>
    </row>
    <row r="123" s="8" customFormat="1" ht="15" customHeight="1" spans="1:12">
      <c r="A123" s="41">
        <v>13</v>
      </c>
      <c r="B123" s="44" t="s">
        <v>152</v>
      </c>
      <c r="C123" s="41"/>
      <c r="D123" s="50" t="s">
        <v>46</v>
      </c>
      <c r="E123" s="41">
        <v>180</v>
      </c>
      <c r="F123" s="41">
        <f t="shared" si="18"/>
        <v>0</v>
      </c>
      <c r="G123" s="41">
        <v>320</v>
      </c>
      <c r="H123" s="41">
        <f t="shared" si="19"/>
        <v>0</v>
      </c>
      <c r="I123" s="42" t="s">
        <v>153</v>
      </c>
      <c r="J123" s="34"/>
      <c r="K123" s="34"/>
      <c r="L123" s="34"/>
    </row>
    <row r="124" s="11" customFormat="1" ht="15.75" customHeight="1" spans="1:12">
      <c r="A124" s="41">
        <v>14</v>
      </c>
      <c r="B124" s="44" t="s">
        <v>154</v>
      </c>
      <c r="C124" s="41"/>
      <c r="D124" s="50" t="s">
        <v>155</v>
      </c>
      <c r="E124" s="41">
        <v>4</v>
      </c>
      <c r="F124" s="41">
        <f t="shared" si="18"/>
        <v>0</v>
      </c>
      <c r="G124" s="41">
        <v>2.5</v>
      </c>
      <c r="H124" s="41">
        <f t="shared" si="19"/>
        <v>0</v>
      </c>
      <c r="I124" s="42" t="s">
        <v>156</v>
      </c>
    </row>
    <row r="125" s="11" customFormat="1" ht="15.75" customHeight="1" spans="1:12">
      <c r="A125" s="41">
        <v>15</v>
      </c>
      <c r="B125" s="44" t="s">
        <v>157</v>
      </c>
      <c r="C125" s="41"/>
      <c r="D125" s="50" t="s">
        <v>15</v>
      </c>
      <c r="E125" s="41">
        <v>25</v>
      </c>
      <c r="F125" s="41">
        <f t="shared" si="18"/>
        <v>0</v>
      </c>
      <c r="G125" s="41">
        <v>48</v>
      </c>
      <c r="H125" s="41">
        <f t="shared" si="19"/>
        <v>0</v>
      </c>
      <c r="I125" s="42" t="s">
        <v>158</v>
      </c>
    </row>
    <row r="126" s="8" customFormat="1" ht="15" customHeight="1" spans="1:12">
      <c r="A126" s="41">
        <v>16</v>
      </c>
      <c r="B126" s="44" t="s">
        <v>159</v>
      </c>
      <c r="C126" s="41"/>
      <c r="D126" s="41" t="s">
        <v>46</v>
      </c>
      <c r="E126" s="41">
        <v>160</v>
      </c>
      <c r="F126" s="41">
        <f t="shared" si="18"/>
        <v>0</v>
      </c>
      <c r="G126" s="41">
        <v>125</v>
      </c>
      <c r="H126" s="41">
        <f t="shared" si="19"/>
        <v>0</v>
      </c>
      <c r="I126" s="42" t="s">
        <v>160</v>
      </c>
      <c r="J126" s="34"/>
      <c r="K126" s="34"/>
      <c r="L126" s="34"/>
    </row>
    <row r="127" ht="14.25" customHeight="1" spans="1:12">
      <c r="A127" s="41">
        <v>17</v>
      </c>
      <c r="B127" s="44" t="s">
        <v>161</v>
      </c>
      <c r="C127" s="41"/>
      <c r="D127" s="41" t="s">
        <v>18</v>
      </c>
      <c r="E127" s="41">
        <v>0</v>
      </c>
      <c r="F127" s="41">
        <f t="shared" si="18"/>
        <v>0</v>
      </c>
      <c r="G127" s="41">
        <v>75</v>
      </c>
      <c r="H127" s="41">
        <f t="shared" si="19"/>
        <v>0</v>
      </c>
      <c r="I127" s="42" t="s">
        <v>162</v>
      </c>
      <c r="J127" s="34"/>
      <c r="K127" s="34"/>
      <c r="L127" s="34"/>
    </row>
    <row r="128" s="14" customFormat="1" ht="15" customHeight="1" spans="1:12">
      <c r="A128" s="41">
        <v>18</v>
      </c>
      <c r="B128" s="44" t="s">
        <v>163</v>
      </c>
      <c r="C128" s="41"/>
      <c r="D128" s="41" t="s">
        <v>18</v>
      </c>
      <c r="E128" s="41"/>
      <c r="F128" s="41">
        <f t="shared" si="18"/>
        <v>0</v>
      </c>
      <c r="G128" s="41">
        <v>5</v>
      </c>
      <c r="H128" s="41">
        <f t="shared" si="19"/>
        <v>0</v>
      </c>
      <c r="I128" s="42" t="s">
        <v>164</v>
      </c>
    </row>
    <row r="129" s="11" customFormat="1" ht="14.25" customHeight="1" spans="1:12">
      <c r="A129" s="41">
        <v>19</v>
      </c>
      <c r="B129" s="44" t="s">
        <v>165</v>
      </c>
      <c r="C129" s="41"/>
      <c r="D129" s="41" t="s">
        <v>18</v>
      </c>
      <c r="E129" s="41">
        <v>80</v>
      </c>
      <c r="F129" s="41">
        <f t="shared" si="18"/>
        <v>0</v>
      </c>
      <c r="G129" s="41">
        <v>75</v>
      </c>
      <c r="H129" s="41">
        <f t="shared" si="19"/>
        <v>0</v>
      </c>
      <c r="I129" s="42" t="s">
        <v>166</v>
      </c>
      <c r="J129" s="34"/>
      <c r="K129" s="34"/>
      <c r="L129" s="34"/>
    </row>
    <row r="130" ht="14.25" customHeight="1" spans="1:12">
      <c r="A130" s="41">
        <v>20</v>
      </c>
      <c r="B130" s="44" t="s">
        <v>167</v>
      </c>
      <c r="C130" s="41"/>
      <c r="D130" s="41" t="s">
        <v>18</v>
      </c>
      <c r="E130" s="41">
        <v>15</v>
      </c>
      <c r="F130" s="41">
        <f t="shared" si="18"/>
        <v>0</v>
      </c>
      <c r="G130" s="41">
        <v>13</v>
      </c>
      <c r="H130" s="41">
        <f t="shared" si="19"/>
        <v>0</v>
      </c>
      <c r="I130" s="42" t="s">
        <v>168</v>
      </c>
      <c r="J130" s="34"/>
      <c r="K130" s="34"/>
      <c r="L130" s="34"/>
    </row>
    <row r="131" s="8" customFormat="1" ht="14.25" customHeight="1" spans="1:12">
      <c r="A131" s="41">
        <v>21</v>
      </c>
      <c r="B131" s="44" t="s">
        <v>169</v>
      </c>
      <c r="C131" s="41"/>
      <c r="D131" s="41" t="s">
        <v>18</v>
      </c>
      <c r="E131" s="41">
        <v>2</v>
      </c>
      <c r="F131" s="41">
        <f t="shared" si="18"/>
        <v>0</v>
      </c>
      <c r="G131" s="41">
        <v>6</v>
      </c>
      <c r="H131" s="41">
        <f t="shared" si="19"/>
        <v>0</v>
      </c>
      <c r="I131" s="42" t="s">
        <v>170</v>
      </c>
      <c r="J131" s="68"/>
      <c r="K131" s="68"/>
      <c r="L131" s="68"/>
    </row>
    <row r="132" s="7" customFormat="1" ht="17.25" customHeight="1" spans="1:12">
      <c r="A132" s="61"/>
      <c r="B132" s="62" t="s">
        <v>52</v>
      </c>
      <c r="C132" s="61"/>
      <c r="D132" s="61"/>
      <c r="E132" s="61"/>
      <c r="F132" s="61">
        <f>SUM(F111:F131)</f>
        <v>0</v>
      </c>
      <c r="G132" s="61"/>
      <c r="H132" s="61">
        <f>SUM(H111:H131)</f>
        <v>0</v>
      </c>
      <c r="I132" s="63"/>
      <c r="J132" s="64"/>
      <c r="K132" s="64"/>
      <c r="L132" s="64"/>
    </row>
    <row r="133" ht="17.25" customHeight="1" spans="1:12">
      <c r="A133" s="41"/>
      <c r="B133" s="65" t="s">
        <v>171</v>
      </c>
      <c r="C133" s="41"/>
      <c r="D133" s="41"/>
      <c r="E133" s="41"/>
      <c r="F133" s="89">
        <f>F132+F84+F75+F65+F54+F45+F34+F25</f>
        <v>0</v>
      </c>
      <c r="G133" s="89"/>
      <c r="H133" s="89">
        <f>H132+H84+H75+H65+H54+H45+H34+H25</f>
        <v>0</v>
      </c>
      <c r="I133" s="42"/>
      <c r="J133" s="34"/>
      <c r="K133" s="34"/>
      <c r="L133" s="34"/>
    </row>
    <row r="134" s="7" customFormat="1" ht="17.25" customHeight="1" spans="1:12">
      <c r="A134" s="61"/>
      <c r="B134" s="62" t="s">
        <v>172</v>
      </c>
      <c r="C134" s="61"/>
      <c r="D134" s="61"/>
      <c r="E134" s="61"/>
      <c r="F134" s="61"/>
      <c r="G134" s="61"/>
      <c r="H134" s="90">
        <f>F133+H133</f>
        <v>0</v>
      </c>
      <c r="I134" s="91"/>
      <c r="J134" s="64"/>
      <c r="K134" s="64"/>
      <c r="L134" s="64"/>
    </row>
    <row r="135" s="15" customFormat="1" ht="18" customHeight="1" spans="1:12">
      <c r="A135" s="92"/>
      <c r="B135" s="93" t="s">
        <v>173</v>
      </c>
      <c r="C135" s="94"/>
      <c r="D135" s="94"/>
      <c r="E135" s="94"/>
      <c r="F135" s="94"/>
      <c r="G135" s="94"/>
      <c r="H135" s="94"/>
      <c r="I135" s="95"/>
      <c r="J135" s="96"/>
      <c r="K135" s="96"/>
      <c r="L135" s="96"/>
    </row>
    <row r="136" ht="14.25" customHeight="1" spans="1:12">
      <c r="A136" s="41"/>
      <c r="B136" s="97" t="s">
        <v>174</v>
      </c>
      <c r="C136" s="41"/>
      <c r="D136" s="41"/>
      <c r="E136" s="41"/>
      <c r="F136" s="41"/>
      <c r="G136" s="98"/>
      <c r="H136" s="89">
        <f>H134*3.5%</f>
        <v>0</v>
      </c>
      <c r="I136" s="42" t="s">
        <v>175</v>
      </c>
      <c r="J136" s="34"/>
      <c r="K136" s="34"/>
      <c r="L136" s="34"/>
    </row>
    <row r="137" ht="24" customHeight="1" spans="1:12">
      <c r="A137" s="41"/>
      <c r="B137" s="65" t="s">
        <v>176</v>
      </c>
      <c r="C137" s="41"/>
      <c r="D137" s="41"/>
      <c r="E137" s="41"/>
      <c r="F137" s="41"/>
      <c r="G137" s="98"/>
      <c r="H137" s="89">
        <f>H134*3%</f>
        <v>0</v>
      </c>
      <c r="I137" s="42" t="s">
        <v>177</v>
      </c>
      <c r="J137" s="34"/>
      <c r="K137" s="34"/>
      <c r="L137" s="34"/>
    </row>
    <row r="138" s="5" customFormat="1" ht="15.75" customHeight="1" spans="1:12">
      <c r="A138" s="41"/>
      <c r="B138" s="65" t="s">
        <v>178</v>
      </c>
      <c r="C138" s="41"/>
      <c r="D138" s="41"/>
      <c r="E138" s="41"/>
      <c r="F138" s="99"/>
      <c r="G138" s="41"/>
      <c r="H138" s="89">
        <f>H134*8%</f>
        <v>0</v>
      </c>
      <c r="I138" s="42" t="s">
        <v>179</v>
      </c>
      <c r="J138" s="100"/>
      <c r="K138" s="101"/>
      <c r="L138" s="101"/>
    </row>
    <row r="139" s="5" customFormat="1" ht="15.75" customHeight="1" spans="1:12">
      <c r="A139" s="41"/>
      <c r="B139" s="65" t="s">
        <v>180</v>
      </c>
      <c r="C139" s="41"/>
      <c r="D139" s="41"/>
      <c r="E139" s="41"/>
      <c r="F139" s="99"/>
      <c r="G139" s="41"/>
      <c r="H139" s="89">
        <f>H134*5%</f>
        <v>0</v>
      </c>
      <c r="I139" s="42" t="s">
        <v>181</v>
      </c>
      <c r="J139" s="100"/>
      <c r="K139" s="101"/>
      <c r="L139" s="101"/>
    </row>
    <row r="140" s="16" customFormat="1" ht="15.75" customHeight="1" spans="1:12">
      <c r="A140" s="92"/>
      <c r="B140" s="102" t="s">
        <v>182</v>
      </c>
      <c r="C140" s="92"/>
      <c r="D140" s="92"/>
      <c r="E140" s="92"/>
      <c r="F140" s="103"/>
      <c r="G140" s="92"/>
      <c r="H140" s="104">
        <f>H139+H138+H137+H136+H134</f>
        <v>0</v>
      </c>
      <c r="I140" s="105"/>
      <c r="J140" s="106"/>
      <c r="K140" s="107"/>
      <c r="L140" s="107"/>
    </row>
    <row r="141" s="5" customFormat="1" ht="15" customHeight="1" spans="1:12">
      <c r="A141" s="41"/>
      <c r="B141" s="108" t="s">
        <v>183</v>
      </c>
      <c r="C141" s="109"/>
      <c r="D141" s="109"/>
      <c r="E141" s="109"/>
      <c r="F141" s="109"/>
      <c r="G141" s="109"/>
      <c r="H141" s="110"/>
      <c r="I141" s="111" t="s">
        <v>184</v>
      </c>
      <c r="J141" s="100"/>
      <c r="K141" s="101"/>
      <c r="L141" s="101"/>
    </row>
    <row r="142" s="16" customFormat="1" ht="17.15" customHeight="1" spans="1:12">
      <c r="A142" s="92" t="s">
        <v>12</v>
      </c>
      <c r="B142" s="102" t="s">
        <v>185</v>
      </c>
      <c r="C142" s="92"/>
      <c r="D142" s="92"/>
      <c r="E142" s="92"/>
      <c r="F142" s="103"/>
      <c r="G142" s="92"/>
      <c r="H142" s="103"/>
      <c r="J142" s="106"/>
      <c r="K142" s="107"/>
      <c r="L142" s="107"/>
    </row>
    <row r="143" s="5" customFormat="1" ht="15" customHeight="1" spans="1:12">
      <c r="A143" s="41">
        <v>1</v>
      </c>
      <c r="B143" s="44" t="s">
        <v>186</v>
      </c>
      <c r="C143" s="41"/>
      <c r="D143" s="41" t="s">
        <v>187</v>
      </c>
      <c r="E143" s="45">
        <v>95</v>
      </c>
      <c r="F143" s="41"/>
      <c r="G143" s="45">
        <v>45</v>
      </c>
      <c r="H143" s="45"/>
      <c r="I143" s="42" t="s">
        <v>188</v>
      </c>
      <c r="J143" s="100"/>
      <c r="K143" s="101"/>
      <c r="L143" s="101"/>
    </row>
    <row r="144" ht="15" customHeight="1" spans="1:12">
      <c r="A144" s="41">
        <v>2</v>
      </c>
      <c r="B144" s="44" t="s">
        <v>189</v>
      </c>
      <c r="C144" s="41"/>
      <c r="D144" s="41" t="s">
        <v>46</v>
      </c>
      <c r="E144" s="45">
        <v>2</v>
      </c>
      <c r="F144" s="41"/>
      <c r="G144" s="45">
        <v>6</v>
      </c>
      <c r="H144" s="41"/>
      <c r="I144" s="42" t="s">
        <v>190</v>
      </c>
      <c r="J144" s="34"/>
      <c r="K144" s="34"/>
      <c r="L144" s="34"/>
    </row>
    <row r="145" ht="15" customHeight="1" spans="1:12">
      <c r="A145" s="41">
        <v>3</v>
      </c>
      <c r="B145" s="44" t="s">
        <v>191</v>
      </c>
      <c r="C145" s="41"/>
      <c r="D145" s="41" t="s">
        <v>46</v>
      </c>
      <c r="E145" s="45">
        <v>20</v>
      </c>
      <c r="F145" s="41"/>
      <c r="G145" s="45">
        <v>45</v>
      </c>
      <c r="H145" s="41"/>
      <c r="I145" s="112" t="s">
        <v>192</v>
      </c>
      <c r="J145" s="34"/>
      <c r="K145" s="34"/>
      <c r="L145" s="34"/>
    </row>
    <row r="146" ht="15" customHeight="1" spans="1:12">
      <c r="A146" s="41">
        <v>4</v>
      </c>
      <c r="B146" s="44" t="s">
        <v>193</v>
      </c>
      <c r="C146" s="41"/>
      <c r="D146" s="41" t="s">
        <v>46</v>
      </c>
      <c r="E146" s="45">
        <v>20</v>
      </c>
      <c r="F146" s="41"/>
      <c r="G146" s="45">
        <v>60</v>
      </c>
      <c r="H146" s="41"/>
      <c r="I146" s="112" t="s">
        <v>194</v>
      </c>
      <c r="J146" s="34"/>
      <c r="K146" s="34"/>
      <c r="L146" s="34"/>
    </row>
    <row r="147" ht="15" customHeight="1" spans="1:12">
      <c r="A147" s="41">
        <v>5</v>
      </c>
      <c r="B147" s="44" t="s">
        <v>195</v>
      </c>
      <c r="C147" s="41"/>
      <c r="D147" s="41" t="s">
        <v>46</v>
      </c>
      <c r="E147" s="45">
        <v>20</v>
      </c>
      <c r="F147" s="41"/>
      <c r="G147" s="45">
        <v>85</v>
      </c>
      <c r="H147" s="41"/>
      <c r="I147" s="112" t="s">
        <v>196</v>
      </c>
      <c r="J147" s="34"/>
      <c r="K147" s="34"/>
      <c r="L147" s="34"/>
    </row>
    <row r="148" ht="15" customHeight="1" spans="1:12">
      <c r="A148" s="41">
        <v>6</v>
      </c>
      <c r="B148" s="44" t="s">
        <v>148</v>
      </c>
      <c r="C148" s="41"/>
      <c r="D148" s="41" t="s">
        <v>46</v>
      </c>
      <c r="E148" s="45">
        <v>45</v>
      </c>
      <c r="F148" s="41"/>
      <c r="G148" s="45">
        <v>90</v>
      </c>
      <c r="H148" s="41"/>
      <c r="I148" s="112" t="s">
        <v>149</v>
      </c>
      <c r="J148" s="34"/>
      <c r="K148" s="34"/>
      <c r="L148" s="34"/>
    </row>
    <row r="149" ht="15" customHeight="1" spans="1:12">
      <c r="A149" s="41">
        <v>7</v>
      </c>
      <c r="B149" s="44" t="s">
        <v>197</v>
      </c>
      <c r="C149" s="41"/>
      <c r="D149" s="41" t="s">
        <v>46</v>
      </c>
      <c r="E149" s="45">
        <v>180</v>
      </c>
      <c r="F149" s="41"/>
      <c r="G149" s="45">
        <v>120</v>
      </c>
      <c r="H149" s="45"/>
      <c r="I149" s="46" t="s">
        <v>198</v>
      </c>
      <c r="J149" s="34"/>
      <c r="K149" s="34"/>
      <c r="L149" s="34"/>
    </row>
    <row r="150" ht="15" customHeight="1" spans="1:12">
      <c r="A150" s="41">
        <v>8</v>
      </c>
      <c r="B150" s="44" t="s">
        <v>14</v>
      </c>
      <c r="C150" s="41"/>
      <c r="D150" s="41" t="s">
        <v>15</v>
      </c>
      <c r="E150" s="45">
        <v>70</v>
      </c>
      <c r="F150" s="41"/>
      <c r="G150" s="45">
        <v>25</v>
      </c>
      <c r="H150" s="45"/>
      <c r="I150" s="46" t="s">
        <v>16</v>
      </c>
      <c r="J150" s="34"/>
      <c r="K150" s="34"/>
      <c r="L150" s="34"/>
    </row>
    <row r="151" s="12" customFormat="1" ht="15" customHeight="1" spans="1:12">
      <c r="A151" s="41">
        <v>9</v>
      </c>
      <c r="B151" s="67" t="s">
        <v>199</v>
      </c>
      <c r="C151" s="41"/>
      <c r="D151" s="41" t="s">
        <v>46</v>
      </c>
      <c r="E151" s="83">
        <v>0</v>
      </c>
      <c r="F151" s="41"/>
      <c r="G151" s="41">
        <v>50</v>
      </c>
      <c r="H151" s="41"/>
      <c r="I151" s="113" t="s">
        <v>200</v>
      </c>
      <c r="J151" s="88"/>
      <c r="K151" s="88"/>
      <c r="L151" s="88"/>
    </row>
    <row r="152" s="12" customFormat="1" ht="15" customHeight="1" spans="1:12">
      <c r="A152" s="41">
        <v>10</v>
      </c>
      <c r="B152" s="67" t="s">
        <v>201</v>
      </c>
      <c r="C152" s="41"/>
      <c r="D152" s="41" t="s">
        <v>46</v>
      </c>
      <c r="E152" s="83">
        <v>50</v>
      </c>
      <c r="F152" s="41"/>
      <c r="G152" s="41">
        <v>100</v>
      </c>
      <c r="H152" s="41"/>
      <c r="I152" s="113" t="s">
        <v>202</v>
      </c>
      <c r="J152" s="88"/>
      <c r="K152" s="88"/>
      <c r="L152" s="88"/>
    </row>
    <row r="153" ht="15" customHeight="1" spans="1:12">
      <c r="A153" s="41">
        <v>11</v>
      </c>
      <c r="B153" s="114" t="s">
        <v>203</v>
      </c>
      <c r="C153" s="41"/>
      <c r="D153" s="41" t="s">
        <v>46</v>
      </c>
      <c r="E153" s="45">
        <v>120</v>
      </c>
      <c r="F153" s="41"/>
      <c r="G153" s="45">
        <v>160</v>
      </c>
      <c r="H153" s="45"/>
      <c r="I153" s="46" t="s">
        <v>198</v>
      </c>
      <c r="J153" s="34"/>
      <c r="K153" s="34"/>
      <c r="L153" s="34"/>
    </row>
    <row r="154" s="13" customFormat="1" ht="15" customHeight="1" spans="1:12">
      <c r="A154" s="41">
        <v>12</v>
      </c>
      <c r="B154" s="115" t="s">
        <v>146</v>
      </c>
      <c r="C154" s="50"/>
      <c r="D154" s="50" t="s">
        <v>46</v>
      </c>
      <c r="E154" s="82">
        <v>25</v>
      </c>
      <c r="F154" s="50"/>
      <c r="G154" s="82">
        <v>45</v>
      </c>
      <c r="H154" s="82"/>
      <c r="I154" s="58" t="s">
        <v>147</v>
      </c>
      <c r="J154" s="59"/>
      <c r="K154" s="59"/>
      <c r="L154" s="59"/>
    </row>
    <row r="155" s="17" customFormat="1" ht="14.15" customHeight="1" spans="1:12">
      <c r="A155" s="41">
        <v>13</v>
      </c>
      <c r="B155" s="58" t="s">
        <v>204</v>
      </c>
      <c r="C155" s="50"/>
      <c r="D155" s="50" t="s">
        <v>21</v>
      </c>
      <c r="E155" s="82">
        <v>23</v>
      </c>
      <c r="F155" s="50"/>
      <c r="G155" s="82">
        <v>16</v>
      </c>
      <c r="H155" s="50"/>
      <c r="I155" s="51" t="s">
        <v>205</v>
      </c>
      <c r="J155" s="116"/>
      <c r="K155" s="116"/>
      <c r="L155" s="116"/>
    </row>
    <row r="156" s="8" customFormat="1" ht="14.15" customHeight="1" spans="1:12">
      <c r="A156" s="41">
        <v>14</v>
      </c>
      <c r="B156" s="46" t="s">
        <v>206</v>
      </c>
      <c r="C156" s="41"/>
      <c r="D156" s="41" t="s">
        <v>46</v>
      </c>
      <c r="E156" s="45">
        <v>120</v>
      </c>
      <c r="F156" s="41"/>
      <c r="G156" s="45">
        <v>180</v>
      </c>
      <c r="H156" s="41"/>
      <c r="I156" s="42" t="s">
        <v>207</v>
      </c>
      <c r="J156" s="68"/>
      <c r="K156" s="68"/>
      <c r="L156" s="68"/>
    </row>
    <row r="157" s="8" customFormat="1" ht="14.15" customHeight="1" spans="1:12">
      <c r="A157" s="41">
        <v>15</v>
      </c>
      <c r="B157" s="117" t="s">
        <v>150</v>
      </c>
      <c r="C157" s="118"/>
      <c r="D157" s="118" t="s">
        <v>15</v>
      </c>
      <c r="E157" s="119">
        <v>65</v>
      </c>
      <c r="F157" s="41"/>
      <c r="G157" s="119">
        <v>100</v>
      </c>
      <c r="H157" s="41"/>
      <c r="I157" s="120" t="s">
        <v>151</v>
      </c>
      <c r="J157"/>
      <c r="K157"/>
      <c r="L157"/>
    </row>
    <row r="158" s="14" customFormat="1" ht="15" customHeight="1" spans="1:12">
      <c r="A158" s="41">
        <v>16</v>
      </c>
      <c r="B158" s="121" t="s">
        <v>163</v>
      </c>
      <c r="C158" s="41"/>
      <c r="D158" s="41" t="s">
        <v>18</v>
      </c>
      <c r="E158" s="122"/>
      <c r="F158" s="41"/>
      <c r="G158" s="122">
        <v>5</v>
      </c>
      <c r="H158" s="41"/>
      <c r="I158" s="123" t="s">
        <v>164</v>
      </c>
    </row>
    <row r="159" ht="15" customHeight="1" spans="1:12">
      <c r="A159" s="41">
        <v>17</v>
      </c>
      <c r="B159" s="44" t="s">
        <v>152</v>
      </c>
      <c r="C159" s="41"/>
      <c r="D159" s="41" t="s">
        <v>46</v>
      </c>
      <c r="E159" s="45">
        <v>180</v>
      </c>
      <c r="F159" s="41"/>
      <c r="G159" s="45">
        <v>320</v>
      </c>
      <c r="H159" s="41"/>
      <c r="I159" s="42" t="s">
        <v>153</v>
      </c>
      <c r="J159" s="34"/>
      <c r="K159" s="34"/>
      <c r="L159" s="34"/>
    </row>
    <row r="160" customFormat="1" ht="15" customHeight="1" spans="1:12">
      <c r="A160" s="41">
        <v>18</v>
      </c>
      <c r="B160" s="44" t="s">
        <v>208</v>
      </c>
      <c r="C160" s="41"/>
      <c r="D160" s="41" t="s">
        <v>46</v>
      </c>
      <c r="E160" s="45">
        <v>200</v>
      </c>
      <c r="F160" s="41"/>
      <c r="G160" s="45">
        <v>150</v>
      </c>
      <c r="H160" s="41"/>
      <c r="I160" s="42" t="s">
        <v>209</v>
      </c>
      <c r="J160" s="34"/>
      <c r="K160" s="34"/>
      <c r="L160" s="34"/>
    </row>
    <row r="161" customFormat="1" ht="15" customHeight="1" spans="1:12">
      <c r="A161" s="41">
        <v>19</v>
      </c>
      <c r="B161" s="44" t="s">
        <v>210</v>
      </c>
      <c r="C161" s="41"/>
      <c r="D161" s="41" t="s">
        <v>46</v>
      </c>
      <c r="E161" s="45">
        <v>130</v>
      </c>
      <c r="F161" s="41"/>
      <c r="G161" s="45">
        <v>70</v>
      </c>
      <c r="H161" s="41"/>
      <c r="I161" s="42" t="s">
        <v>211</v>
      </c>
      <c r="J161" s="34"/>
      <c r="K161" s="34"/>
      <c r="L161" s="34"/>
    </row>
    <row r="162" s="11" customFormat="1" ht="15.75" customHeight="1" spans="1:12">
      <c r="A162" s="41">
        <v>20</v>
      </c>
      <c r="B162" s="124" t="s">
        <v>154</v>
      </c>
      <c r="C162" s="41"/>
      <c r="D162" s="118" t="s">
        <v>155</v>
      </c>
      <c r="E162" s="119">
        <v>4</v>
      </c>
      <c r="F162" s="118"/>
      <c r="G162" s="119">
        <v>2.5</v>
      </c>
      <c r="H162" s="41"/>
      <c r="I162" s="120" t="s">
        <v>156</v>
      </c>
    </row>
    <row r="163" s="11" customFormat="1" ht="15.75" customHeight="1" spans="1:12">
      <c r="A163" s="41">
        <v>21</v>
      </c>
      <c r="B163" s="117" t="s">
        <v>157</v>
      </c>
      <c r="C163" s="41"/>
      <c r="D163" s="118" t="s">
        <v>15</v>
      </c>
      <c r="E163" s="119">
        <v>25</v>
      </c>
      <c r="F163" s="41"/>
      <c r="G163" s="119">
        <v>48</v>
      </c>
      <c r="H163" s="41"/>
      <c r="I163" s="120" t="s">
        <v>158</v>
      </c>
    </row>
    <row r="164" ht="15" customHeight="1" spans="1:12">
      <c r="A164" s="41">
        <v>22</v>
      </c>
      <c r="B164" s="114" t="s">
        <v>159</v>
      </c>
      <c r="C164" s="41"/>
      <c r="D164" s="41" t="s">
        <v>46</v>
      </c>
      <c r="E164" s="45">
        <v>160</v>
      </c>
      <c r="F164" s="41"/>
      <c r="G164" s="45">
        <v>125</v>
      </c>
      <c r="H164" s="41"/>
      <c r="I164" s="42" t="s">
        <v>160</v>
      </c>
      <c r="J164" s="34"/>
      <c r="K164" s="34"/>
      <c r="L164" s="34"/>
    </row>
    <row r="165" s="8" customFormat="1" ht="14.15" customHeight="1" spans="1:12">
      <c r="A165" s="41">
        <v>23</v>
      </c>
      <c r="B165" s="117" t="s">
        <v>212</v>
      </c>
      <c r="C165" s="118"/>
      <c r="D165" s="118" t="s">
        <v>15</v>
      </c>
      <c r="E165" s="119"/>
      <c r="F165" s="41">
        <f>C165*E165</f>
        <v>0</v>
      </c>
      <c r="G165" s="119">
        <v>85</v>
      </c>
      <c r="H165" s="41">
        <f>SUM(G165*C165)</f>
        <v>0</v>
      </c>
      <c r="I165" s="42" t="s">
        <v>213</v>
      </c>
      <c r="J165"/>
    </row>
    <row r="166" s="5" customFormat="1" ht="17.15" customHeight="1" spans="1:12">
      <c r="A166" s="41" t="s">
        <v>53</v>
      </c>
      <c r="B166" s="65" t="s">
        <v>214</v>
      </c>
      <c r="C166" s="125"/>
      <c r="D166" s="125"/>
      <c r="E166" s="125"/>
      <c r="F166" s="125"/>
      <c r="G166" s="125"/>
      <c r="H166" s="125"/>
      <c r="I166" s="125"/>
      <c r="J166" s="100"/>
      <c r="K166" s="101"/>
      <c r="L166" s="101"/>
    </row>
    <row r="167" s="5" customFormat="1" ht="27" customHeight="1" spans="1:12">
      <c r="A167" s="41">
        <v>1</v>
      </c>
      <c r="B167" s="126" t="s">
        <v>215</v>
      </c>
      <c r="C167" s="126"/>
      <c r="D167" s="126"/>
      <c r="E167" s="126"/>
      <c r="F167" s="126"/>
      <c r="G167" s="126"/>
      <c r="H167" s="126"/>
      <c r="I167" s="126"/>
      <c r="J167" s="100"/>
      <c r="K167" s="101"/>
      <c r="L167" s="101"/>
    </row>
    <row r="168" s="5" customFormat="1" ht="29" customHeight="1" spans="1:12">
      <c r="A168" s="41">
        <v>2</v>
      </c>
      <c r="B168" s="44" t="s">
        <v>216</v>
      </c>
      <c r="C168" s="44"/>
      <c r="D168" s="44"/>
      <c r="E168" s="44"/>
      <c r="F168" s="44"/>
      <c r="G168" s="44"/>
      <c r="H168" s="44"/>
      <c r="I168" s="44"/>
      <c r="J168" s="100"/>
      <c r="K168" s="101"/>
      <c r="L168" s="101"/>
    </row>
    <row r="169" s="5" customFormat="1" ht="29.25" customHeight="1" spans="1:12">
      <c r="A169" s="41">
        <v>3</v>
      </c>
      <c r="B169" s="126" t="s">
        <v>217</v>
      </c>
      <c r="C169" s="126"/>
      <c r="D169" s="126"/>
      <c r="E169" s="126"/>
      <c r="F169" s="126"/>
      <c r="G169" s="126"/>
      <c r="H169" s="126"/>
      <c r="I169" s="126"/>
      <c r="J169" s="100"/>
      <c r="K169" s="101"/>
      <c r="L169" s="101"/>
    </row>
    <row r="170" s="5" customFormat="1" ht="27.75" customHeight="1" spans="1:12">
      <c r="A170" s="41">
        <v>4</v>
      </c>
      <c r="B170" s="126" t="s">
        <v>218</v>
      </c>
      <c r="C170" s="126"/>
      <c r="D170" s="126"/>
      <c r="E170" s="126"/>
      <c r="F170" s="126"/>
      <c r="G170" s="126"/>
      <c r="H170" s="126"/>
      <c r="I170" s="126"/>
      <c r="J170" s="100"/>
      <c r="K170" s="101"/>
      <c r="L170" s="101"/>
    </row>
    <row r="171" s="5" customFormat="1" ht="58" customHeight="1" spans="1:12">
      <c r="A171" s="41">
        <v>5</v>
      </c>
      <c r="B171" s="126" t="s">
        <v>219</v>
      </c>
      <c r="C171" s="126"/>
      <c r="D171" s="126"/>
      <c r="E171" s="126"/>
      <c r="F171" s="126"/>
      <c r="G171" s="126"/>
      <c r="H171" s="126"/>
      <c r="I171" s="126"/>
      <c r="J171" s="100"/>
      <c r="K171" s="101"/>
      <c r="L171" s="101"/>
    </row>
    <row r="172" s="5" customFormat="1" ht="31.5" customHeight="1" spans="1:12">
      <c r="A172" s="41">
        <v>6</v>
      </c>
      <c r="B172" s="44" t="s">
        <v>220</v>
      </c>
      <c r="C172" s="44"/>
      <c r="D172" s="44"/>
      <c r="E172" s="44"/>
      <c r="F172" s="44"/>
      <c r="G172" s="44"/>
      <c r="H172" s="44"/>
      <c r="I172" s="44"/>
      <c r="J172" s="100"/>
      <c r="K172" s="101"/>
      <c r="L172" s="101"/>
    </row>
    <row r="173" s="5" customFormat="1" ht="16.5" customHeight="1" spans="1:12">
      <c r="A173" s="41">
        <v>7</v>
      </c>
      <c r="B173" s="126" t="s">
        <v>221</v>
      </c>
      <c r="C173" s="126"/>
      <c r="D173" s="126"/>
      <c r="E173" s="126"/>
      <c r="F173" s="126"/>
      <c r="G173" s="126"/>
      <c r="H173" s="126"/>
      <c r="I173" s="126"/>
      <c r="J173" s="100"/>
      <c r="K173" s="101"/>
      <c r="L173" s="101"/>
    </row>
    <row r="174" s="5" customFormat="1" ht="16" customHeight="1" spans="1:12">
      <c r="A174" s="41">
        <v>8</v>
      </c>
      <c r="B174" s="126" t="s">
        <v>222</v>
      </c>
      <c r="C174" s="126"/>
      <c r="D174" s="126"/>
      <c r="E174" s="126"/>
      <c r="F174" s="126"/>
      <c r="G174" s="126"/>
      <c r="H174" s="126"/>
      <c r="I174" s="126"/>
      <c r="J174" s="100"/>
      <c r="K174" s="101"/>
      <c r="L174" s="101"/>
    </row>
    <row r="175" s="5" customFormat="1" ht="16" customHeight="1" spans="1:12">
      <c r="A175" s="41">
        <v>9</v>
      </c>
      <c r="B175" s="126" t="s">
        <v>223</v>
      </c>
      <c r="C175" s="126"/>
      <c r="D175" s="126"/>
      <c r="E175" s="126"/>
      <c r="F175" s="126"/>
      <c r="G175" s="126"/>
      <c r="H175" s="126"/>
      <c r="I175" s="126"/>
      <c r="J175" s="100"/>
      <c r="K175" s="101"/>
      <c r="L175" s="101"/>
    </row>
    <row r="176" s="18" customFormat="1" ht="15.75" customHeight="1" spans="1:12">
      <c r="A176" s="127"/>
      <c r="B176" s="128" t="s">
        <v>224</v>
      </c>
      <c r="C176" s="128"/>
      <c r="D176" s="128"/>
      <c r="E176" s="128"/>
      <c r="F176" s="128"/>
      <c r="G176" s="128"/>
      <c r="H176" s="128"/>
      <c r="I176" s="128"/>
      <c r="J176" s="129"/>
      <c r="K176" s="129"/>
      <c r="L176" s="129"/>
    </row>
  </sheetData>
  <mergeCells count="31">
    <mergeCell ref="A1:I1"/>
    <mergeCell ref="A2:H2"/>
    <mergeCell ref="A3:K3"/>
    <mergeCell ref="B8:E8"/>
    <mergeCell ref="B46:E46"/>
    <mergeCell ref="B86:E86"/>
    <mergeCell ref="B103:E103"/>
    <mergeCell ref="B135:I135"/>
    <mergeCell ref="B141:G141"/>
    <mergeCell ref="C166:I166"/>
    <mergeCell ref="B167:I167"/>
    <mergeCell ref="B168:I168"/>
    <mergeCell ref="B169:I169"/>
    <mergeCell ref="B170:I170"/>
    <mergeCell ref="B171:I171"/>
    <mergeCell ref="B172:I172"/>
    <mergeCell ref="B173:I173"/>
    <mergeCell ref="B174:I174"/>
    <mergeCell ref="B175:I175"/>
    <mergeCell ref="B176:I176"/>
    <mergeCell ref="A4:A7"/>
    <mergeCell ref="B4:B7"/>
    <mergeCell ref="C4:C7"/>
    <mergeCell ref="D4:D7"/>
    <mergeCell ref="E6:E7"/>
    <mergeCell ref="F6:F7"/>
    <mergeCell ref="G6:G7"/>
    <mergeCell ref="H6:H7"/>
    <mergeCell ref="I4:I7"/>
    <mergeCell ref="E4:F5"/>
    <mergeCell ref="G4:H5"/>
  </mergeCells>
  <pageMargins left="0.275" right="0.0777777777777778" top="0.235416666666667" bottom="0.0388888888888889" header="0.829861111111111" footer="0.235416666666667"/>
  <pageSetup paperSize="9" orientation="landscape"/>
  <headerFooter alignWithMargins="0" scaleWithDoc="0">
    <oddFooter>&amp;C&amp;"Times New Roman"&amp;12第 &amp;P 页</oddFooter>
  </headerFooter>
  <drawing r:id="rId1"/>
</worksheet>
</file>

<file path=docProps/app.xml><?xml version="1.0" encoding="utf-8"?>
<Properties xmlns="http://schemas.openxmlformats.org/officeDocument/2006/extended-properties" xmlns:vt="http://schemas.openxmlformats.org/officeDocument/2006/docPropsVTypes">
  <Company>满堂红</Company>
  <Application>Microsoft Excel</Application>
  <HeadingPairs>
    <vt:vector size="2" baseType="variant">
      <vt:variant>
        <vt:lpstr>工作表</vt:lpstr>
      </vt:variant>
      <vt:variant>
        <vt:i4>1</vt:i4>
      </vt:variant>
    </vt:vector>
  </HeadingPairs>
  <TitlesOfParts>
    <vt:vector size="1" baseType="lpstr">
      <vt:lpstr>2019报价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Admin（无密码）</cp:lastModifiedBy>
  <cp:revision>1</cp:revision>
  <dcterms:created xsi:type="dcterms:W3CDTF">2002-06-15T02:54:00Z</dcterms:created>
  <cp:lastPrinted>2018-07-15T03:46:00Z</cp:lastPrinted>
  <dcterms:modified xsi:type="dcterms:W3CDTF">2026-07-13T06:53:14Z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0735085390924D56B04DBE2AA26B728F</vt:lpwstr>
  </property>
  <property fmtid="{D5CDD505-2E9C-101B-9397-08002B2CF9AE}" pid="4" name="CalculationRule">
    <vt:i4>0</vt:i4>
  </property>
</Properties>
</file>