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name="2019报价" sheetId="1" state="visible" r:id="rId1"/>
  </sheets>
  <definedNames/>
  <calcPr calcId="191029" fullCalcOnLoad="1"/>
</workbook>
</file>

<file path=xl/styles.xml><?xml version="1.0" encoding="utf-8"?>
<styleSheet xmlns="http://schemas.openxmlformats.org/spreadsheetml/2006/main">
  <numFmts count="3">
    <numFmt numFmtId="164" formatCode="0_ "/>
    <numFmt numFmtId="165" formatCode="0.0_ "/>
    <numFmt numFmtId="166" formatCode="_-* #,##0.00_-;\-* #,##0.00_-;_-* &quot;-&quot;??_-;_-@_-"/>
  </numFmts>
  <fonts count="62">
    <font>
      <name val="宋体"/>
      <charset val="134"/>
      <sz val="12"/>
    </font>
    <font>
      <name val="宋体"/>
      <charset val="134"/>
      <color theme="1"/>
      <sz val="10"/>
    </font>
    <font>
      <name val="宋体"/>
      <charset val="134"/>
      <sz val="10"/>
    </font>
    <font>
      <name val="宋体"/>
      <charset val="134"/>
      <sz val="11"/>
    </font>
    <font>
      <name val="宋体"/>
      <charset val="134"/>
      <b val="1"/>
      <color indexed="55"/>
      <sz val="11"/>
    </font>
    <font>
      <name val="宋体"/>
      <charset val="134"/>
      <color theme="1"/>
      <sz val="11"/>
    </font>
    <font>
      <name val="宋体"/>
      <charset val="134"/>
      <color indexed="8"/>
      <sz val="12"/>
    </font>
    <font>
      <name val="宋体"/>
      <charset val="134"/>
      <color theme="1"/>
      <sz val="12"/>
    </font>
    <font>
      <name val="新宋体"/>
      <charset val="134"/>
      <b val="1"/>
      <sz val="18"/>
    </font>
    <font>
      <name val="新宋体"/>
      <charset val="134"/>
      <sz val="12"/>
    </font>
    <font>
      <name val="新宋体"/>
      <charset val="134"/>
      <b val="1"/>
      <sz val="12"/>
    </font>
    <font>
      <name val="新宋体"/>
      <charset val="134"/>
      <b val="1"/>
      <sz val="14"/>
    </font>
    <font>
      <name val="新宋体"/>
      <charset val="134"/>
      <sz val="10"/>
    </font>
    <font>
      <name val="新宋体"/>
      <charset val="134"/>
      <b val="1"/>
      <sz val="11"/>
    </font>
    <font>
      <name val="新宋体"/>
      <charset val="134"/>
      <sz val="11"/>
    </font>
    <font>
      <name val="新宋体"/>
      <charset val="134"/>
      <color theme="1"/>
      <sz val="11"/>
    </font>
    <font>
      <name val="新宋体"/>
      <charset val="134"/>
      <color theme="1"/>
      <sz val="10"/>
    </font>
    <font>
      <name val="宋体"/>
      <charset val="134"/>
      <sz val="8"/>
    </font>
    <font>
      <name val="宋体"/>
      <charset val="134"/>
      <sz val="9"/>
    </font>
    <font>
      <name val="新宋体"/>
      <charset val="134"/>
      <b val="1"/>
      <color indexed="55"/>
      <sz val="11"/>
    </font>
    <font>
      <name val="新宋体"/>
      <charset val="134"/>
      <b val="1"/>
      <color indexed="8"/>
      <sz val="11"/>
    </font>
    <font>
      <name val="新宋体"/>
      <charset val="134"/>
      <color indexed="55"/>
      <sz val="11"/>
    </font>
    <font>
      <name val="新宋体"/>
      <charset val="134"/>
      <color indexed="63"/>
      <sz val="11"/>
    </font>
    <font>
      <name val="新宋体"/>
      <charset val="134"/>
      <b val="1"/>
      <color indexed="55"/>
      <sz val="10"/>
    </font>
    <font>
      <name val="新宋体"/>
      <charset val="134"/>
      <color theme="1"/>
      <sz val="9"/>
    </font>
    <font>
      <name val="新宋体"/>
      <charset val="134"/>
      <b val="1"/>
      <sz val="9"/>
    </font>
    <font>
      <name val="新宋体"/>
      <charset val="134"/>
      <color indexed="8"/>
      <sz val="11"/>
    </font>
    <font>
      <name val="新宋体"/>
      <charset val="134"/>
      <color indexed="8"/>
      <sz val="10"/>
    </font>
    <font>
      <name val="新宋体"/>
      <charset val="134"/>
      <sz val="9"/>
    </font>
    <font>
      <name val="Times New Roman"/>
      <charset val="134"/>
      <sz val="10"/>
    </font>
    <font>
      <name val="宋体"/>
      <charset val="134"/>
      <color indexed="8"/>
      <sz val="10"/>
    </font>
    <font>
      <name val="宋体"/>
      <charset val="134"/>
      <color indexed="8"/>
      <sz val="11"/>
    </font>
    <font>
      <name val="新宋体"/>
      <charset val="134"/>
      <color indexed="8"/>
      <sz val="12"/>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Arial"/>
      <charset val="134"/>
      <b val="1"/>
      <sz val="8"/>
    </font>
    <font>
      <name val="Arial"/>
      <charset val="134"/>
      <b val="1"/>
      <sz val="12"/>
    </font>
    <font>
      <name val="Arial"/>
      <charset val="134"/>
      <sz val="10"/>
    </font>
    <font>
      <name val="新宋体"/>
      <charset val="134"/>
      <color theme="1"/>
      <sz val="11"/>
      <vertAlign val="superscript"/>
    </font>
    <font>
      <name val="宋体"/>
      <charset val="134"/>
      <color indexed="8"/>
      <sz val="11"/>
      <vertAlign val="superscript"/>
    </font>
    <font>
      <name val="宋体"/>
      <charset val="134"/>
      <sz val="11"/>
      <vertAlign val="superscript"/>
    </font>
    <font>
      <name val="新宋体"/>
      <charset val="134"/>
      <color theme="1"/>
      <sz val="10"/>
      <vertAlign val="superscript"/>
    </font>
    <font>
      <name val="新宋体"/>
      <charset val="134"/>
      <sz val="11"/>
      <vertAlign val="superscript"/>
    </font>
  </fonts>
  <fills count="35">
    <fill>
      <patternFill/>
    </fill>
    <fill>
      <patternFill patternType="gray125"/>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right/>
      <top style="thin">
        <color auto="1"/>
      </top>
      <bottom/>
      <diagonal/>
    </border>
    <border>
      <left style="thin">
        <color auto="1"/>
      </left>
      <right/>
      <top/>
      <bottom/>
      <diagonal/>
    </border>
    <border>
      <left/>
      <right style="thin">
        <color auto="1"/>
      </right>
      <top/>
      <bottom/>
      <diagonal/>
    </border>
  </borders>
  <cellStyleXfs count="66">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34" fillId="0" borderId="0" applyAlignment="1">
      <alignment vertical="center"/>
    </xf>
    <xf numFmtId="0" fontId="35" fillId="0" borderId="0" applyAlignment="1">
      <alignment vertical="center"/>
    </xf>
    <xf numFmtId="0" fontId="33" fillId="4" borderId="15"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16" applyAlignment="1">
      <alignment vertical="center"/>
    </xf>
    <xf numFmtId="0" fontId="40" fillId="0" borderId="16" applyAlignment="1">
      <alignment vertical="center"/>
    </xf>
    <xf numFmtId="0" fontId="41" fillId="0" borderId="17" applyAlignment="1">
      <alignment vertical="center"/>
    </xf>
    <xf numFmtId="0" fontId="41" fillId="0" borderId="0" applyAlignment="1">
      <alignment vertical="center"/>
    </xf>
    <xf numFmtId="0" fontId="42" fillId="5" borderId="18" applyAlignment="1">
      <alignment vertical="center"/>
    </xf>
    <xf numFmtId="0" fontId="43" fillId="6" borderId="19" applyAlignment="1">
      <alignment vertical="center"/>
    </xf>
    <xf numFmtId="0" fontId="44" fillId="6" borderId="18" applyAlignment="1">
      <alignment vertical="center"/>
    </xf>
    <xf numFmtId="0" fontId="45" fillId="7" borderId="20" applyAlignment="1">
      <alignment vertical="center"/>
    </xf>
    <xf numFmtId="0" fontId="46" fillId="0" borderId="21" applyAlignment="1">
      <alignment vertical="center"/>
    </xf>
    <xf numFmtId="0" fontId="47" fillId="0" borderId="22" applyAlignment="1">
      <alignment vertical="center"/>
    </xf>
    <xf numFmtId="0" fontId="48" fillId="8" borderId="0" applyAlignment="1">
      <alignment vertical="center"/>
    </xf>
    <xf numFmtId="0" fontId="49" fillId="9" borderId="0" applyAlignment="1">
      <alignment vertical="center"/>
    </xf>
    <xf numFmtId="0" fontId="50" fillId="10" borderId="0" applyAlignment="1">
      <alignment vertical="center"/>
    </xf>
    <xf numFmtId="0" fontId="51" fillId="11" borderId="0" applyAlignment="1">
      <alignment vertical="center"/>
    </xf>
    <xf numFmtId="0" fontId="52" fillId="12" borderId="0" applyAlignment="1">
      <alignment vertical="center"/>
    </xf>
    <xf numFmtId="0" fontId="52" fillId="13" borderId="0" applyAlignment="1">
      <alignment vertical="center"/>
    </xf>
    <xf numFmtId="0" fontId="51" fillId="14" borderId="0" applyAlignment="1">
      <alignment vertical="center"/>
    </xf>
    <xf numFmtId="0" fontId="51" fillId="15" borderId="0" applyAlignment="1">
      <alignment vertical="center"/>
    </xf>
    <xf numFmtId="0" fontId="52" fillId="16" borderId="0" applyAlignment="1">
      <alignment vertical="center"/>
    </xf>
    <xf numFmtId="0" fontId="52" fillId="17" borderId="0" applyAlignment="1">
      <alignment vertical="center"/>
    </xf>
    <xf numFmtId="0" fontId="51" fillId="18" borderId="0" applyAlignment="1">
      <alignment vertical="center"/>
    </xf>
    <xf numFmtId="0" fontId="51" fillId="19" borderId="0" applyAlignment="1">
      <alignment vertical="center"/>
    </xf>
    <xf numFmtId="0" fontId="52" fillId="20" borderId="0" applyAlignment="1">
      <alignment vertical="center"/>
    </xf>
    <xf numFmtId="0" fontId="52" fillId="21" borderId="0" applyAlignment="1">
      <alignment vertical="center"/>
    </xf>
    <xf numFmtId="0" fontId="51" fillId="22" borderId="0" applyAlignment="1">
      <alignment vertical="center"/>
    </xf>
    <xf numFmtId="0" fontId="51" fillId="23" borderId="0" applyAlignment="1">
      <alignment vertical="center"/>
    </xf>
    <xf numFmtId="0" fontId="52" fillId="24" borderId="0" applyAlignment="1">
      <alignment vertical="center"/>
    </xf>
    <xf numFmtId="0" fontId="52" fillId="25" borderId="0" applyAlignment="1">
      <alignment vertical="center"/>
    </xf>
    <xf numFmtId="0" fontId="51" fillId="26" borderId="0" applyAlignment="1">
      <alignment vertical="center"/>
    </xf>
    <xf numFmtId="0" fontId="51" fillId="27" borderId="0" applyAlignment="1">
      <alignment vertical="center"/>
    </xf>
    <xf numFmtId="0" fontId="52" fillId="28" borderId="0" applyAlignment="1">
      <alignment vertical="center"/>
    </xf>
    <xf numFmtId="0" fontId="52" fillId="29" borderId="0" applyAlignment="1">
      <alignment vertical="center"/>
    </xf>
    <xf numFmtId="0" fontId="51" fillId="30" borderId="0" applyAlignment="1">
      <alignment vertical="center"/>
    </xf>
    <xf numFmtId="0" fontId="51" fillId="31" borderId="0" applyAlignment="1">
      <alignment vertical="center"/>
    </xf>
    <xf numFmtId="0" fontId="52" fillId="32" borderId="0" applyAlignment="1">
      <alignment vertical="center"/>
    </xf>
    <xf numFmtId="0" fontId="52" fillId="33" borderId="0" applyAlignment="1">
      <alignment vertical="center"/>
    </xf>
    <xf numFmtId="0" fontId="51" fillId="34" borderId="0" applyAlignment="1">
      <alignment vertical="center"/>
    </xf>
    <xf numFmtId="0" fontId="53" fillId="0" borderId="0"/>
    <xf numFmtId="0" fontId="53" fillId="0" borderId="0"/>
    <xf numFmtId="166" fontId="0" fillId="0" borderId="0"/>
    <xf numFmtId="41" fontId="0" fillId="0" borderId="0"/>
    <xf numFmtId="43" fontId="0" fillId="0" borderId="0"/>
    <xf numFmtId="41" fontId="0" fillId="0" borderId="0"/>
    <xf numFmtId="166" fontId="0" fillId="0" borderId="0"/>
    <xf numFmtId="0" fontId="0" fillId="0" borderId="0"/>
    <xf numFmtId="166" fontId="0" fillId="0" borderId="0"/>
    <xf numFmtId="0" fontId="0" fillId="0" borderId="0"/>
    <xf numFmtId="166" fontId="0" fillId="0" borderId="0"/>
    <xf numFmtId="0" fontId="54" fillId="0" borderId="5" applyAlignment="1">
      <alignment horizontal="center"/>
    </xf>
    <xf numFmtId="0" fontId="55" fillId="0" borderId="23" applyAlignment="1">
      <alignment horizontal="left" vertical="center"/>
    </xf>
    <xf numFmtId="0" fontId="55" fillId="0" borderId="14" applyAlignment="1">
      <alignment horizontal="left" vertical="center"/>
    </xf>
    <xf numFmtId="0" fontId="56" fillId="0" borderId="0"/>
    <xf numFmtId="0" fontId="0" fillId="0" borderId="0"/>
    <xf numFmtId="43" fontId="0" fillId="0" borderId="0"/>
  </cellStyleXfs>
  <cellXfs count="154">
    <xf numFmtId="0" fontId="0" fillId="0" borderId="0" pivotButton="0" quotePrefix="0" xfId="0"/>
    <xf numFmtId="0" fontId="0" fillId="0" borderId="1" applyAlignment="1" pivotButton="0" quotePrefix="0" xfId="0">
      <alignment horizontal="center" vertical="center"/>
    </xf>
    <xf numFmtId="0" fontId="0" fillId="0" borderId="1" pivotButton="0" quotePrefix="0" xfId="0"/>
    <xf numFmtId="0" fontId="0" fillId="0" borderId="2" pivotButton="0" quotePrefix="0" xfId="0"/>
    <xf numFmtId="0" fontId="1" fillId="0" borderId="3" applyAlignment="1" pivotButton="0" quotePrefix="0" xfId="0">
      <alignment wrapText="1"/>
    </xf>
    <xf numFmtId="0" fontId="2" fillId="0" borderId="3" applyAlignment="1" pivotButton="0" quotePrefix="0" xfId="0">
      <alignment wrapText="1"/>
    </xf>
    <xf numFmtId="0" fontId="1" fillId="0" borderId="0" applyAlignment="1" pivotButton="0" quotePrefix="0" xfId="0">
      <alignment wrapText="1"/>
    </xf>
    <xf numFmtId="0" fontId="3" fillId="2" borderId="4" applyAlignment="1" pivotButton="0" quotePrefix="0" xfId="0">
      <alignment wrapText="1"/>
    </xf>
    <xf numFmtId="0" fontId="3" fillId="0" borderId="0" applyAlignment="1" pivotButton="0" quotePrefix="0" xfId="0">
      <alignment wrapText="1"/>
    </xf>
    <xf numFmtId="0" fontId="4" fillId="2" borderId="4" applyAlignment="1" pivotButton="0" quotePrefix="0" xfId="0">
      <alignment wrapText="1"/>
    </xf>
    <xf numFmtId="0" fontId="5" fillId="0" borderId="0" applyAlignment="1" pivotButton="0" quotePrefix="0" xfId="0">
      <alignment wrapText="1"/>
    </xf>
    <xf numFmtId="0" fontId="2" fillId="0" borderId="0" applyAlignment="1" pivotButton="0" quotePrefix="0" xfId="0">
      <alignment vertical="center"/>
    </xf>
    <xf numFmtId="0" fontId="6" fillId="3" borderId="0" pivotButton="0" quotePrefix="0" xfId="0"/>
    <xf numFmtId="0" fontId="0" fillId="3" borderId="0" applyAlignment="1" pivotButton="0" quotePrefix="0" xfId="0">
      <alignment vertical="center"/>
    </xf>
    <xf numFmtId="0" fontId="7" fillId="0" borderId="0" pivotButton="0" quotePrefix="0" xfId="0"/>
    <xf numFmtId="0" fontId="3" fillId="3" borderId="0" applyAlignment="1" pivotButton="0" quotePrefix="0" xfId="0">
      <alignment wrapText="1"/>
    </xf>
    <xf numFmtId="0" fontId="3" fillId="3" borderId="3" applyAlignment="1" pivotButton="0" quotePrefix="0" xfId="0">
      <alignment wrapText="1"/>
    </xf>
    <xf numFmtId="0" fontId="0" fillId="3" borderId="0" pivotButton="0" quotePrefix="0" xfId="0"/>
    <xf numFmtId="0" fontId="2" fillId="0" borderId="4" applyAlignment="1" pivotButton="0" quotePrefix="0" xfId="0">
      <alignment wrapText="1"/>
    </xf>
    <xf numFmtId="0" fontId="3" fillId="0" borderId="0" applyAlignment="1" pivotButton="0" quotePrefix="0" xfId="0">
      <alignment horizontal="center" vertical="center" wrapText="1"/>
    </xf>
    <xf numFmtId="0" fontId="2" fillId="0" borderId="0" applyAlignment="1" pivotButton="0" quotePrefix="0" xfId="0">
      <alignment horizontal="left" wrapText="1"/>
    </xf>
    <xf numFmtId="0" fontId="3" fillId="0" borderId="0" applyAlignment="1" pivotButton="0" quotePrefix="0" xfId="0">
      <alignment horizontal="center" wrapText="1"/>
    </xf>
    <xf numFmtId="0" fontId="3" fillId="0" borderId="0" applyAlignment="1" pivotButton="0" quotePrefix="0" xfId="0">
      <alignment horizontal="right" vertical="center" wrapText="1"/>
    </xf>
    <xf numFmtId="0" fontId="2" fillId="0" borderId="0" applyAlignment="1" pivotButton="0" quotePrefix="0" xfId="0">
      <alignment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xf>
    <xf numFmtId="0" fontId="0" fillId="0" borderId="0" applyAlignment="1" pivotButton="0" quotePrefix="0" xfId="0">
      <alignment horizontal="center" vertical="center"/>
    </xf>
    <xf numFmtId="0" fontId="10" fillId="0" borderId="0" applyAlignment="1" pivotButton="0" quotePrefix="0" xfId="0">
      <alignment horizontal="left" vertical="center"/>
    </xf>
    <xf numFmtId="31" fontId="10" fillId="0" borderId="0" applyAlignment="1" pivotButton="0" quotePrefix="0" xfId="0">
      <alignment horizontal="center" vertical="center"/>
    </xf>
    <xf numFmtId="0" fontId="9" fillId="0" borderId="0" pivotButton="0" quotePrefix="0" xfId="0"/>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7" applyAlignment="1" pivotButton="0" quotePrefix="0" xfId="0">
      <alignment horizontal="center" vertical="center" wrapText="1"/>
    </xf>
    <xf numFmtId="0" fontId="12" fillId="0" borderId="0" applyAlignment="1" pivotButton="0" quotePrefix="0" xfId="0">
      <alignment wrapText="1"/>
    </xf>
    <xf numFmtId="0" fontId="11" fillId="0" borderId="8" applyAlignment="1" pivotButton="0" quotePrefix="0" xfId="0">
      <alignment horizontal="center" vertical="center" wrapText="1"/>
    </xf>
    <xf numFmtId="0" fontId="11" fillId="0" borderId="9"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11" applyAlignment="1" pivotButton="0" quotePrefix="0" xfId="0">
      <alignment horizontal="center" vertical="center" wrapText="1"/>
    </xf>
    <xf numFmtId="0" fontId="13"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14" fillId="0" borderId="3" applyAlignment="1" pivotButton="0" quotePrefix="0" xfId="0">
      <alignment horizontal="center" vertical="center" wrapText="1"/>
    </xf>
    <xf numFmtId="0" fontId="12" fillId="0" borderId="3" applyAlignment="1" pivotButton="0" quotePrefix="0" xfId="0">
      <alignment vertical="center" wrapText="1"/>
    </xf>
    <xf numFmtId="0" fontId="3" fillId="0" borderId="3" applyAlignment="1" pivotButton="0" quotePrefix="0" xfId="0">
      <alignment horizontal="center" vertical="center" wrapText="1"/>
    </xf>
    <xf numFmtId="0" fontId="14" fillId="0" borderId="3" applyAlignment="1" pivotButton="0" quotePrefix="0" xfId="0">
      <alignment horizontal="left" vertical="center" wrapText="1"/>
    </xf>
    <xf numFmtId="0" fontId="12" fillId="0" borderId="3" applyAlignment="1" pivotButton="0" quotePrefix="0" xfId="0">
      <alignment horizontal="center" vertical="center" wrapText="1"/>
    </xf>
    <xf numFmtId="0" fontId="12" fillId="0" borderId="3" applyAlignment="1" pivotButton="0" quotePrefix="0" xfId="0">
      <alignment horizontal="left" vertical="center" wrapText="1"/>
    </xf>
    <xf numFmtId="0" fontId="3" fillId="0" borderId="3" applyAlignment="1" pivotButton="0" quotePrefix="0" xfId="0">
      <alignment horizontal="left" vertical="center" wrapText="1"/>
    </xf>
    <xf numFmtId="0" fontId="15" fillId="0" borderId="3" applyAlignment="1" pivotButton="0" quotePrefix="0" xfId="0">
      <alignment vertical="center" wrapText="1"/>
    </xf>
    <xf numFmtId="0" fontId="5"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6" fillId="0" borderId="3" applyAlignment="1" pivotButton="0" quotePrefix="0" xfId="0">
      <alignment vertical="center" wrapText="1"/>
    </xf>
    <xf numFmtId="0" fontId="16" fillId="0" borderId="12" applyAlignment="1" pivotButton="0" quotePrefix="0" xfId="0">
      <alignment wrapText="1"/>
    </xf>
    <xf numFmtId="0" fontId="16" fillId="0" borderId="3" applyAlignment="1" pivotButton="0" quotePrefix="0" xfId="0">
      <alignment wrapText="1"/>
    </xf>
    <xf numFmtId="0" fontId="17" fillId="0" borderId="3" applyAlignment="1" pivotButton="0" quotePrefix="0" xfId="0">
      <alignment vertical="center" wrapText="1"/>
    </xf>
    <xf numFmtId="0" fontId="2" fillId="0" borderId="3" applyAlignment="1" pivotButton="0" quotePrefix="0" xfId="0">
      <alignment vertical="center" wrapText="1"/>
    </xf>
    <xf numFmtId="0" fontId="2" fillId="0" borderId="12" applyAlignment="1" pivotButton="0" quotePrefix="0" xfId="0">
      <alignment wrapText="1"/>
    </xf>
    <xf numFmtId="0" fontId="18" fillId="0" borderId="3" applyAlignment="1" pivotButton="0" quotePrefix="0" xfId="0">
      <alignment vertical="center" wrapText="1"/>
    </xf>
    <xf numFmtId="0" fontId="16" fillId="0" borderId="3" applyAlignment="1" pivotButton="0" quotePrefix="0" xfId="0">
      <alignment horizontal="left" vertical="center" wrapText="1"/>
    </xf>
    <xf numFmtId="0" fontId="16" fillId="0" borderId="0" applyAlignment="1" pivotButton="0" quotePrefix="0" xfId="0">
      <alignment wrapText="1"/>
    </xf>
    <xf numFmtId="0" fontId="2" fillId="0" borderId="3" applyAlignment="1" pivotButton="0" quotePrefix="0" xfId="0">
      <alignment horizontal="left" vertical="center" wrapText="1"/>
    </xf>
    <xf numFmtId="0" fontId="14" fillId="2" borderId="3" applyAlignment="1" pivotButton="0" quotePrefix="0" xfId="0">
      <alignment horizontal="center" vertical="center" wrapText="1"/>
    </xf>
    <xf numFmtId="0" fontId="13" fillId="2" borderId="3" applyAlignment="1" pivotButton="0" quotePrefix="0" xfId="0">
      <alignment horizontal="left" vertical="center" wrapText="1"/>
    </xf>
    <xf numFmtId="0" fontId="12" fillId="2" borderId="3" applyAlignment="1" pivotButton="0" quotePrefix="0" xfId="0">
      <alignment vertical="center" wrapText="1"/>
    </xf>
    <xf numFmtId="0" fontId="14" fillId="2" borderId="4" applyAlignment="1" pivotButton="0" quotePrefix="0" xfId="0">
      <alignment wrapText="1"/>
    </xf>
    <xf numFmtId="0" fontId="13" fillId="0" borderId="3" applyAlignment="1" pivotButton="0" quotePrefix="0" xfId="0">
      <alignment horizontal="left" vertical="center" wrapText="1"/>
    </xf>
    <xf numFmtId="0" fontId="15" fillId="0" borderId="3" applyAlignment="1" pivotButton="0" quotePrefix="0" xfId="0">
      <alignment horizontal="left" vertical="center" wrapText="1"/>
    </xf>
    <xf numFmtId="0" fontId="14" fillId="3" borderId="3" applyAlignment="1" pivotButton="0" quotePrefix="0" xfId="0">
      <alignment vertical="center"/>
    </xf>
    <xf numFmtId="0" fontId="14" fillId="0" borderId="0" applyAlignment="1" pivotButton="0" quotePrefix="0" xfId="0">
      <alignment wrapText="1"/>
    </xf>
    <xf numFmtId="0" fontId="19" fillId="2" borderId="3" applyAlignment="1" pivotButton="0" quotePrefix="0" xfId="0">
      <alignment horizontal="center" vertical="center" wrapText="1"/>
    </xf>
    <xf numFmtId="0" fontId="20" fillId="2" borderId="3" applyAlignment="1" pivotButton="0" quotePrefix="0" xfId="0">
      <alignment horizontal="left" vertical="center" wrapText="1"/>
    </xf>
    <xf numFmtId="0" fontId="21" fillId="2" borderId="3" applyAlignment="1" pivotButton="0" quotePrefix="0" xfId="0">
      <alignment horizontal="center" vertical="center" wrapText="1"/>
    </xf>
    <xf numFmtId="0" fontId="22" fillId="2" borderId="3" applyAlignment="1" pivotButton="0" quotePrefix="0" xfId="0">
      <alignment horizontal="center" vertical="center" wrapText="1"/>
    </xf>
    <xf numFmtId="0" fontId="23" fillId="2" borderId="3" applyAlignment="1" pivotButton="0" quotePrefix="0" xfId="0">
      <alignment vertical="center" wrapText="1"/>
    </xf>
    <xf numFmtId="0" fontId="19" fillId="2" borderId="4" applyAlignment="1" pivotButton="0" quotePrefix="0" xfId="0">
      <alignment wrapText="1"/>
    </xf>
    <xf numFmtId="0" fontId="10" fillId="0" borderId="13" applyAlignment="1" pivotButton="0" quotePrefix="0" xfId="0">
      <alignment horizontal="left" vertical="center" wrapText="1"/>
    </xf>
    <xf numFmtId="0" fontId="10" fillId="0" borderId="14" applyAlignment="1" pivotButton="0" quotePrefix="0" xfId="0">
      <alignment horizontal="left" vertical="center" wrapText="1"/>
    </xf>
    <xf numFmtId="0" fontId="10" fillId="0" borderId="12" applyAlignment="1" pivotButton="0" quotePrefix="0" xfId="0">
      <alignment horizontal="left" vertical="center" wrapText="1"/>
    </xf>
    <xf numFmtId="0" fontId="15" fillId="0" borderId="0" applyAlignment="1" pivotButton="0" quotePrefix="0" xfId="0">
      <alignment wrapText="1"/>
    </xf>
    <xf numFmtId="0" fontId="13" fillId="0" borderId="13" applyAlignment="1" pivotButton="0" quotePrefix="0" xfId="0">
      <alignment horizontal="left" vertical="center" wrapText="1"/>
    </xf>
    <xf numFmtId="0" fontId="13" fillId="0" borderId="14" applyAlignment="1" pivotButton="0" quotePrefix="0" xfId="0">
      <alignment horizontal="left" vertical="center" wrapText="1"/>
    </xf>
    <xf numFmtId="0" fontId="13" fillId="0" borderId="12" applyAlignment="1" pivotButton="0" quotePrefix="0" xfId="0">
      <alignment horizontal="left" vertical="center" wrapText="1"/>
    </xf>
    <xf numFmtId="0" fontId="24" fillId="0" borderId="3" applyAlignment="1" pivotButton="0" quotePrefix="0" xfId="0">
      <alignment vertical="center" wrapText="1"/>
    </xf>
    <xf numFmtId="0" fontId="16" fillId="0" borderId="3" applyAlignment="1" pivotButton="0" quotePrefix="0" xfId="0">
      <alignment horizontal="center" vertical="center" wrapText="1"/>
    </xf>
    <xf numFmtId="0" fontId="14" fillId="3" borderId="3" applyAlignment="1" pivotButton="0" quotePrefix="0" xfId="0">
      <alignment horizontal="center" vertical="center"/>
    </xf>
    <xf numFmtId="0" fontId="12" fillId="3" borderId="3" applyAlignment="1" pivotButton="0" quotePrefix="0" xfId="0">
      <alignment horizontal="left" vertical="center"/>
    </xf>
    <xf numFmtId="0" fontId="12" fillId="0" borderId="0" applyAlignment="1" pivotButton="0" quotePrefix="0" xfId="0">
      <alignment vertical="center"/>
    </xf>
    <xf numFmtId="0" fontId="25" fillId="0" borderId="3" applyAlignment="1" pivotButton="0" quotePrefix="0" xfId="0">
      <alignment horizontal="center" vertical="center" wrapText="1"/>
    </xf>
    <xf numFmtId="0" fontId="26" fillId="3" borderId="3" applyAlignment="1" pivotButton="0" quotePrefix="0" xfId="0">
      <alignment horizontal="left" vertical="center" wrapText="1"/>
    </xf>
    <xf numFmtId="0" fontId="26" fillId="3" borderId="3" applyAlignment="1" pivotButton="0" quotePrefix="0" xfId="0">
      <alignment horizontal="center" vertical="center" wrapText="1"/>
    </xf>
    <xf numFmtId="0" fontId="27" fillId="3" borderId="3" applyAlignment="1" pivotButton="0" quotePrefix="0" xfId="0">
      <alignment vertical="center" wrapText="1"/>
    </xf>
    <xf numFmtId="0" fontId="27" fillId="3" borderId="0" applyAlignment="1" pivotButton="0" quotePrefix="0" xfId="0">
      <alignment wrapText="1"/>
    </xf>
    <xf numFmtId="0" fontId="28" fillId="0" borderId="3" applyAlignment="1" pivotButton="0" quotePrefix="0" xfId="0">
      <alignment vertical="center" wrapText="1"/>
    </xf>
    <xf numFmtId="0" fontId="12" fillId="3" borderId="3" applyAlignment="1" pivotButton="0" quotePrefix="0" xfId="0">
      <alignment vertical="center" wrapText="1"/>
    </xf>
    <xf numFmtId="0" fontId="9" fillId="3" borderId="0"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horizontal="center" vertical="center"/>
    </xf>
    <xf numFmtId="0" fontId="29" fillId="0" borderId="3" applyAlignment="1" pivotButton="0" quotePrefix="0" xfId="0">
      <alignment vertical="center" wrapText="1"/>
    </xf>
    <xf numFmtId="0" fontId="24" fillId="0" borderId="3" applyAlignment="1" pivotButton="0" quotePrefix="0" xfId="0">
      <alignment horizontal="left" vertical="center" wrapText="1"/>
    </xf>
    <xf numFmtId="0" fontId="30" fillId="3" borderId="3" applyAlignment="1" pivotButton="0" quotePrefix="0" xfId="0">
      <alignment horizontal="left" vertical="center" wrapText="1"/>
    </xf>
    <xf numFmtId="0" fontId="31" fillId="3" borderId="3" applyAlignment="1" pivotButton="0" quotePrefix="0" xfId="0">
      <alignment horizontal="center" vertical="center" wrapText="1"/>
    </xf>
    <xf numFmtId="0" fontId="30" fillId="3" borderId="3" applyAlignment="1" pivotButton="0" quotePrefix="0" xfId="0">
      <alignment horizontal="center" vertical="center" wrapText="1"/>
    </xf>
    <xf numFmtId="0" fontId="30" fillId="3" borderId="3" applyAlignment="1" pivotButton="0" quotePrefix="0" xfId="0">
      <alignment vertical="center" wrapText="1"/>
    </xf>
    <xf numFmtId="0" fontId="28" fillId="0" borderId="3" applyAlignment="1" pivotButton="0" quotePrefix="0" xfId="0">
      <alignment horizontal="left" vertical="center" wrapText="1"/>
    </xf>
    <xf numFmtId="0" fontId="26" fillId="3" borderId="3" applyAlignment="1" pivotButton="0" quotePrefix="0" xfId="0">
      <alignment vertical="center"/>
    </xf>
    <xf numFmtId="0" fontId="26" fillId="3" borderId="3" applyAlignment="1" pivotButton="0" quotePrefix="0" xfId="0">
      <alignment horizontal="center" vertical="center"/>
    </xf>
    <xf numFmtId="0" fontId="27" fillId="3" borderId="3" applyAlignment="1" pivotButton="0" quotePrefix="0" xfId="0">
      <alignment horizontal="left" vertical="center" wrapText="1"/>
    </xf>
    <xf numFmtId="0" fontId="32" fillId="3" borderId="0" pivotButton="0" quotePrefix="0" xfId="0"/>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0" fontId="14" fillId="2" borderId="3" applyAlignment="1" pivotButton="0" quotePrefix="0" xfId="0">
      <alignment vertical="center" wrapText="1"/>
    </xf>
    <xf numFmtId="0" fontId="14" fillId="3" borderId="3" applyAlignment="1" pivotButton="0" quotePrefix="0" xfId="0">
      <alignment horizontal="center" vertical="center" wrapText="1"/>
    </xf>
    <xf numFmtId="0" fontId="13" fillId="3" borderId="13" applyAlignment="1" pivotButton="0" quotePrefix="0" xfId="0">
      <alignment horizontal="left" vertical="center" wrapText="1"/>
    </xf>
    <xf numFmtId="0" fontId="13" fillId="3" borderId="14" applyAlignment="1" pivotButton="0" quotePrefix="0" xfId="0">
      <alignment horizontal="left" vertical="center" wrapText="1"/>
    </xf>
    <xf numFmtId="0" fontId="13" fillId="3" borderId="12" applyAlignment="1" pivotButton="0" quotePrefix="0" xfId="0">
      <alignment horizontal="left" vertical="center" wrapText="1"/>
    </xf>
    <xf numFmtId="0" fontId="14" fillId="3" borderId="0" applyAlignment="1" pivotButton="0" quotePrefix="0" xfId="0">
      <alignment wrapText="1"/>
    </xf>
    <xf numFmtId="10" fontId="13" fillId="0" borderId="3" applyAlignment="1" pivotButton="0" quotePrefix="0" xfId="0">
      <alignment horizontal="left" vertical="center" wrapText="1"/>
    </xf>
    <xf numFmtId="10" fontId="14" fillId="0" borderId="3" applyAlignment="1" pivotButton="0" quotePrefix="0" xfId="0">
      <alignment horizontal="center" vertical="center" wrapText="1"/>
    </xf>
    <xf numFmtId="165" fontId="14" fillId="0" borderId="3" applyAlignment="1" pivotButton="0" quotePrefix="0" xfId="0">
      <alignment horizontal="center" vertical="center" wrapText="1"/>
    </xf>
    <xf numFmtId="0" fontId="12" fillId="0" borderId="12" applyAlignment="1" pivotButton="0" quotePrefix="0" xfId="0">
      <alignment wrapText="1"/>
    </xf>
    <xf numFmtId="0" fontId="12" fillId="0" borderId="3" applyAlignment="1" pivotButton="0" quotePrefix="0" xfId="0">
      <alignment wrapText="1"/>
    </xf>
    <xf numFmtId="0" fontId="13" fillId="3" borderId="3" applyAlignment="1" pivotButton="0" quotePrefix="0" xfId="0">
      <alignment horizontal="left"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0" fontId="14" fillId="3" borderId="12" applyAlignment="1" pivotButton="0" quotePrefix="0" xfId="0">
      <alignment wrapText="1"/>
    </xf>
    <xf numFmtId="0" fontId="14" fillId="3" borderId="3" applyAlignment="1" pivotButton="0" quotePrefix="0" xfId="0">
      <alignment wrapText="1"/>
    </xf>
    <xf numFmtId="0" fontId="14" fillId="0" borderId="13" applyAlignment="1" pivotButton="0" quotePrefix="0" xfId="0">
      <alignment horizontal="left" vertical="center" wrapText="1"/>
    </xf>
    <xf numFmtId="0" fontId="0" fillId="0" borderId="14" applyAlignment="1" pivotButton="0" quotePrefix="0" xfId="0">
      <alignment vertical="center" wrapText="1"/>
    </xf>
    <xf numFmtId="0" fontId="0" fillId="0" borderId="3" applyAlignment="1" pivotButton="0" quotePrefix="0" xfId="0">
      <alignment vertical="center" wrapText="1"/>
    </xf>
    <xf numFmtId="165" fontId="12" fillId="3" borderId="3" applyAlignment="1" pivotButton="0" quotePrefix="0" xfId="0">
      <alignment vertical="center" wrapText="1"/>
    </xf>
    <xf numFmtId="0" fontId="3" fillId="3" borderId="3" pivotButton="0" quotePrefix="0" xfId="0"/>
    <xf numFmtId="0" fontId="2" fillId="3" borderId="3" applyAlignment="1" pivotButton="0" quotePrefix="0" xfId="0">
      <alignment horizontal="center" vertical="center"/>
    </xf>
    <xf numFmtId="0" fontId="2" fillId="3" borderId="3" pivotButton="0" quotePrefix="0" xfId="0"/>
    <xf numFmtId="0" fontId="31" fillId="3" borderId="3" applyAlignment="1" pivotButton="0" quotePrefix="0" xfId="0">
      <alignment horizontal="left" vertical="center" wrapText="1"/>
    </xf>
    <xf numFmtId="0" fontId="9" fillId="0" borderId="3" applyAlignment="1" pivotButton="0" quotePrefix="0" xfId="0">
      <alignment horizontal="center" vertical="center" wrapText="1"/>
    </xf>
    <xf numFmtId="0" fontId="14" fillId="0" borderId="3" applyAlignment="1" pivotButton="0" quotePrefix="0" xfId="0">
      <alignment vertical="center" wrapText="1"/>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2" fillId="0" borderId="4" applyAlignment="1" pivotButton="0" quotePrefix="0" xfId="0">
      <alignment wrapText="1"/>
    </xf>
    <xf numFmtId="0" fontId="11" fillId="0" borderId="3"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165" fontId="14" fillId="0" borderId="3" applyAlignment="1" pivotButton="0" quotePrefix="0" xfId="0">
      <alignment horizontal="center"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165" fontId="12" fillId="3" borderId="3" applyAlignment="1" pivotButton="0" quotePrefix="0" xfId="0">
      <alignment vertical="center"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0]_设备明细表" xfId="52"/>
    <cellStyle name="千位_设备明细表" xfId="53"/>
    <cellStyle name="千分位[0]_广州平安证券" xfId="54"/>
    <cellStyle name="??|?Revenuenuesy L 2" xfId="55"/>
    <cellStyle name="常规 2" xfId="56"/>
    <cellStyle name="??|?Revenuenuesy L 3" xfId="57"/>
    <cellStyle name="常规 3" xfId="58"/>
    <cellStyle name="??|?Revenuenuesy L 4"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M168"/>
  <sheetViews>
    <sheetView tabSelected="1" zoomScale="130" zoomScaleNormal="130" workbookViewId="0">
      <selection activeCell="C16" sqref="C16"/>
    </sheetView>
  </sheetViews>
  <sheetFormatPr baseColWidth="8" defaultColWidth="9" defaultRowHeight="21" customHeight="1"/>
  <cols>
    <col width="4.08333333333333" customWidth="1" style="19" min="1" max="1"/>
    <col width="16.25" customWidth="1" style="20" min="2" max="2"/>
    <col width="5.58333333333333" customWidth="1" style="21" min="3" max="3"/>
    <col width="4.08333333333333" customWidth="1" style="21" min="4" max="4"/>
    <col width="6.25" customWidth="1" style="21" min="5" max="5"/>
    <col width="7.75" customWidth="1" style="22" min="6" max="6"/>
    <col width="6.25" customWidth="1" style="21" min="7" max="7"/>
    <col width="9.08333333333333" customWidth="1" style="22" min="8" max="8"/>
    <col width="74.5" customWidth="1" style="23" min="9" max="9"/>
    <col width="9" customWidth="1" style="23" min="10" max="16384"/>
  </cols>
  <sheetData>
    <row r="1" ht="44.25" customFormat="1" customHeight="1" s="1">
      <c r="A1" s="24" t="inlineStr">
        <is>
          <t xml:space="preserve">                                                                                      广东帝豪装饰集团巴中分公司（工程预算单）
</t>
        </is>
      </c>
      <c r="J1" s="25" t="n"/>
      <c r="K1" s="25" t="n"/>
      <c r="L1" s="25"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c r="AS1" s="26" t="n"/>
      <c r="AT1" s="26" t="n"/>
      <c r="AU1" s="26" t="n"/>
      <c r="AV1" s="26" t="n"/>
      <c r="AW1" s="26" t="n"/>
      <c r="AX1" s="26" t="n"/>
      <c r="AY1" s="26" t="n"/>
      <c r="AZ1" s="26" t="n"/>
      <c r="BA1" s="26" t="n"/>
      <c r="BB1" s="26" t="n"/>
      <c r="BC1" s="26" t="n"/>
      <c r="BD1" s="26" t="n"/>
      <c r="BE1" s="26" t="n"/>
      <c r="BF1" s="26" t="n"/>
      <c r="BG1" s="26" t="n"/>
      <c r="BH1" s="26" t="n"/>
      <c r="BI1" s="26" t="n"/>
      <c r="BJ1" s="26" t="n"/>
      <c r="BK1" s="26" t="n"/>
      <c r="BL1" s="26" t="n"/>
      <c r="BM1" s="26" t="n"/>
      <c r="BN1" s="26" t="n"/>
      <c r="BO1" s="26" t="n"/>
      <c r="BP1" s="26" t="n"/>
      <c r="BQ1" s="26" t="n"/>
      <c r="BR1" s="26" t="n"/>
      <c r="BS1" s="26" t="n"/>
      <c r="BT1" s="26" t="n"/>
      <c r="BU1" s="26" t="n"/>
      <c r="BV1" s="26" t="n"/>
      <c r="BW1" s="26" t="n"/>
      <c r="BX1" s="26" t="n"/>
      <c r="BY1" s="26" t="n"/>
      <c r="BZ1" s="26" t="n"/>
      <c r="CA1" s="26" t="n"/>
      <c r="CB1" s="26" t="n"/>
      <c r="CC1" s="26" t="n"/>
      <c r="CD1" s="26" t="n"/>
      <c r="CE1" s="26" t="n"/>
      <c r="CF1" s="26" t="n"/>
      <c r="CG1" s="26" t="n"/>
      <c r="CH1" s="26" t="n"/>
      <c r="CI1" s="26" t="n"/>
      <c r="CJ1" s="26" t="n"/>
      <c r="CK1" s="26" t="n"/>
      <c r="CL1" s="26" t="n"/>
      <c r="CM1" s="26" t="n"/>
      <c r="CN1" s="26" t="n"/>
      <c r="CO1" s="26" t="n"/>
      <c r="CP1" s="26" t="n"/>
      <c r="CQ1" s="26" t="n"/>
      <c r="CR1" s="26" t="n"/>
      <c r="CS1" s="26" t="n"/>
      <c r="CT1" s="26" t="n"/>
      <c r="CU1" s="26" t="n"/>
      <c r="CV1" s="26" t="n"/>
      <c r="CW1" s="26" t="n"/>
      <c r="CX1" s="26" t="n"/>
      <c r="CY1" s="26" t="n"/>
      <c r="CZ1" s="26" t="n"/>
      <c r="DA1" s="26" t="n"/>
      <c r="DB1" s="26" t="n"/>
      <c r="DC1" s="26" t="n"/>
      <c r="DD1" s="26" t="n"/>
      <c r="DE1" s="26" t="n"/>
      <c r="DF1" s="26" t="n"/>
      <c r="DG1" s="26" t="n"/>
      <c r="DH1" s="26" t="n"/>
      <c r="DI1" s="26" t="n"/>
      <c r="DJ1" s="26" t="n"/>
      <c r="DK1" s="26" t="n"/>
      <c r="DL1" s="26" t="n"/>
      <c r="DM1" s="26" t="n"/>
      <c r="DN1" s="26" t="n"/>
      <c r="DO1" s="26" t="n"/>
      <c r="DP1" s="26" t="n"/>
      <c r="DQ1" s="26" t="n"/>
      <c r="DR1" s="26" t="n"/>
      <c r="DS1" s="26" t="n"/>
      <c r="DT1" s="26" t="n"/>
      <c r="DU1" s="26" t="n"/>
      <c r="DV1" s="26" t="n"/>
      <c r="DW1" s="26" t="n"/>
      <c r="DX1" s="26" t="n"/>
      <c r="DY1" s="26" t="n"/>
      <c r="DZ1" s="26" t="n"/>
      <c r="EA1" s="26" t="n"/>
      <c r="EB1" s="26" t="n"/>
      <c r="EC1" s="26" t="n"/>
      <c r="ED1" s="26" t="n"/>
      <c r="EE1" s="26" t="n"/>
      <c r="EF1" s="26" t="n"/>
      <c r="EG1" s="26" t="n"/>
      <c r="EH1" s="26" t="n"/>
      <c r="EI1" s="26" t="n"/>
      <c r="EJ1" s="26" t="n"/>
      <c r="EK1" s="26" t="n"/>
      <c r="EL1" s="26" t="n"/>
      <c r="EM1" s="26" t="n"/>
      <c r="EN1" s="26" t="n"/>
      <c r="EO1" s="26" t="n"/>
      <c r="EP1" s="26" t="n"/>
      <c r="EQ1" s="26" t="n"/>
      <c r="ER1" s="26" t="n"/>
      <c r="ES1" s="26" t="n"/>
      <c r="ET1" s="26" t="n"/>
      <c r="EU1" s="26" t="n"/>
      <c r="EV1" s="26" t="n"/>
      <c r="EW1" s="26" t="n"/>
      <c r="EX1" s="26" t="n"/>
      <c r="EY1" s="26" t="n"/>
      <c r="EZ1" s="26" t="n"/>
      <c r="FA1" s="26" t="n"/>
      <c r="FB1" s="26" t="n"/>
      <c r="FC1" s="26" t="n"/>
      <c r="FD1" s="26" t="n"/>
      <c r="FE1" s="26" t="n"/>
      <c r="FF1" s="26" t="n"/>
      <c r="FG1" s="26" t="n"/>
      <c r="FH1" s="26" t="n"/>
      <c r="FI1" s="26" t="n"/>
      <c r="FJ1" s="26" t="n"/>
      <c r="FK1" s="26" t="n"/>
      <c r="FL1" s="26" t="n"/>
      <c r="FM1" s="26" t="n"/>
    </row>
    <row r="2" ht="17.15" customFormat="1" customHeight="1" s="2">
      <c r="A2" s="27" t="inlineStr">
        <is>
          <t xml:space="preserve">工程名称：半山逸城2期12-101苟先生            </t>
        </is>
      </c>
      <c r="I2" s="28" t="n">
        <v>44677</v>
      </c>
      <c r="J2" s="29" t="n"/>
      <c r="K2" s="29" t="n"/>
      <c r="L2" s="29" t="n"/>
    </row>
    <row r="3" ht="17.15" customFormat="1" customHeight="1" s="3">
      <c r="A3" s="27" t="inlineStr">
        <is>
          <t>公司地址:巴中市黄家沟居然之家四楼2-4-009号                                        电话:0827-3888300</t>
        </is>
      </c>
      <c r="L3" s="29" t="n"/>
    </row>
    <row r="4" ht="9.75" customHeight="1">
      <c r="A4" s="139" t="inlineStr">
        <is>
          <t>序号</t>
        </is>
      </c>
      <c r="B4" s="139" t="inlineStr">
        <is>
          <t>项目内容</t>
        </is>
      </c>
      <c r="C4" s="139" t="inlineStr">
        <is>
          <t>数量</t>
        </is>
      </c>
      <c r="D4" s="139" t="inlineStr">
        <is>
          <t>单位</t>
        </is>
      </c>
      <c r="E4" s="139" t="inlineStr">
        <is>
          <t>材料</t>
        </is>
      </c>
      <c r="F4" s="140" t="n"/>
      <c r="G4" s="139" t="inlineStr">
        <is>
          <t>人工</t>
        </is>
      </c>
      <c r="H4" s="140" t="n"/>
      <c r="I4" s="139" t="inlineStr">
        <is>
          <t>施工工艺及材料说明</t>
        </is>
      </c>
      <c r="J4" s="33" t="n"/>
      <c r="K4" s="33" t="n"/>
      <c r="L4" s="33" t="n"/>
    </row>
    <row r="5" ht="9.75" customHeight="1">
      <c r="A5" s="141" t="n"/>
      <c r="B5" s="141" t="n"/>
      <c r="C5" s="141" t="n"/>
      <c r="D5" s="141" t="n"/>
      <c r="E5" s="142" t="n"/>
      <c r="F5" s="143" t="n"/>
      <c r="G5" s="142" t="n"/>
      <c r="H5" s="143" t="n"/>
      <c r="I5" s="141" t="n"/>
      <c r="J5" s="33" t="n"/>
      <c r="K5" s="33" t="n"/>
      <c r="L5" s="33" t="n"/>
    </row>
    <row r="6" ht="8.25" customHeight="1">
      <c r="A6" s="141" t="n"/>
      <c r="B6" s="141" t="n"/>
      <c r="C6" s="141" t="n"/>
      <c r="D6" s="141" t="n"/>
      <c r="E6" s="139" t="inlineStr">
        <is>
          <t>单价</t>
        </is>
      </c>
      <c r="F6" s="139" t="inlineStr">
        <is>
          <t>合价</t>
        </is>
      </c>
      <c r="G6" s="139" t="inlineStr">
        <is>
          <t>单价</t>
        </is>
      </c>
      <c r="H6" s="139" t="inlineStr">
        <is>
          <t>合价</t>
        </is>
      </c>
      <c r="I6" s="141" t="n"/>
      <c r="J6" s="33" t="n"/>
      <c r="K6" s="33" t="n"/>
      <c r="L6" s="33" t="n"/>
    </row>
    <row r="7" ht="8.25" customHeight="1">
      <c r="A7" s="144" t="n"/>
      <c r="B7" s="144" t="n"/>
      <c r="C7" s="144" t="n"/>
      <c r="D7" s="144" t="n"/>
      <c r="E7" s="144" t="n"/>
      <c r="F7" s="144" t="n"/>
      <c r="G7" s="144" t="n"/>
      <c r="H7" s="144" t="n"/>
      <c r="I7" s="144" t="n"/>
      <c r="J7" s="33" t="n"/>
      <c r="K7" s="33" t="n"/>
      <c r="L7" s="33" t="n"/>
    </row>
    <row r="8" ht="16.5" customHeight="1">
      <c r="A8" s="38" t="inlineStr">
        <is>
          <t>一</t>
        </is>
      </c>
      <c r="B8" s="39" t="inlineStr">
        <is>
          <t>客厅、餐厅及阳台</t>
        </is>
      </c>
      <c r="C8" s="145" t="n"/>
      <c r="D8" s="145" t="n"/>
      <c r="E8" s="146" t="n"/>
      <c r="F8" s="40" t="n"/>
      <c r="G8" s="40" t="n"/>
      <c r="H8" s="40" t="n"/>
      <c r="I8" s="41" t="n"/>
      <c r="J8" s="33" t="n"/>
      <c r="K8" s="33" t="n"/>
      <c r="L8" s="33" t="n"/>
    </row>
    <row r="9" ht="15" customHeight="1">
      <c r="A9" s="42" t="n">
        <v>1</v>
      </c>
      <c r="B9" s="43" t="inlineStr">
        <is>
          <t>窗帘盒</t>
        </is>
      </c>
      <c r="C9" s="40" t="n"/>
      <c r="D9" s="40" t="inlineStr">
        <is>
          <t>M</t>
        </is>
      </c>
      <c r="E9" s="40" t="n">
        <v>70</v>
      </c>
      <c r="F9" s="40">
        <f>C9*E9</f>
        <v/>
      </c>
      <c r="G9" s="44" t="n">
        <v>25</v>
      </c>
      <c r="H9" s="40">
        <f>C9*G9</f>
        <v/>
      </c>
      <c r="I9" s="45" t="inlineStr">
        <is>
          <t>欧松板、石膏板、辅料、人工及机具费。</t>
        </is>
      </c>
      <c r="J9" s="33" t="n"/>
      <c r="K9" s="33" t="n"/>
      <c r="L9" s="33" t="n"/>
    </row>
    <row r="10" ht="17" customHeight="1">
      <c r="A10" s="42" t="n">
        <v>2</v>
      </c>
      <c r="B10" s="46" t="inlineStr">
        <is>
          <t>石膏板平面天花</t>
        </is>
      </c>
      <c r="C10" s="42" t="n"/>
      <c r="D10" s="40" t="inlineStr">
        <is>
          <t>M2</t>
        </is>
      </c>
      <c r="E10" s="42" t="n">
        <v>95</v>
      </c>
      <c r="F10" s="40">
        <f>C10*E10</f>
        <v/>
      </c>
      <c r="G10" s="42" t="n">
        <v>55</v>
      </c>
      <c r="H10" s="40">
        <f>C10*G10</f>
        <v/>
      </c>
      <c r="I10" s="41" t="inlineStr">
        <is>
          <t>木龙骨或轻钢龙骨框架结构、膨胀螺丝固定、纸面石膏板封面（以展开面积计算)、乳胶漆另计</t>
        </is>
      </c>
    </row>
    <row r="11" ht="26.25" customFormat="1" customHeight="1" s="4">
      <c r="A11" s="42" t="n">
        <v>3</v>
      </c>
      <c r="B11" s="47" t="inlineStr">
        <is>
          <t>造型天花</t>
        </is>
      </c>
      <c r="C11" s="48" t="n"/>
      <c r="D11" s="49" t="inlineStr">
        <is>
          <t>M2</t>
        </is>
      </c>
      <c r="E11" s="49" t="n">
        <v>125</v>
      </c>
      <c r="F11" s="49">
        <f>C11*E11</f>
        <v/>
      </c>
      <c r="G11" s="49" t="n">
        <v>65</v>
      </c>
      <c r="H11" s="49">
        <f>C11*G11</f>
        <v/>
      </c>
      <c r="I11" s="50" t="inlineStr">
        <is>
          <t>木龙骨或轻钢龙骨框架，造型位置夹板框架、纸面石膏板封面(以展开面积计算)、弧型处夹板衬底、乳胶漆另计。</t>
        </is>
      </c>
      <c r="J11" s="51" t="n"/>
      <c r="K11" s="52" t="n"/>
      <c r="L11" s="52" t="inlineStr">
        <is>
          <t> </t>
        </is>
      </c>
    </row>
    <row r="12" ht="16.5" customHeight="1">
      <c r="A12" s="42" t="n">
        <v>4</v>
      </c>
      <c r="B12" s="43" t="inlineStr">
        <is>
          <t>天花虚光灯槽</t>
        </is>
      </c>
      <c r="C12" s="40" t="n"/>
      <c r="D12" s="40" t="inlineStr">
        <is>
          <t>m</t>
        </is>
      </c>
      <c r="E12" s="40" t="n">
        <v>38</v>
      </c>
      <c r="F12" s="40">
        <f>C12*E12</f>
        <v/>
      </c>
      <c r="G12" s="40" t="n">
        <v>22</v>
      </c>
      <c r="H12" s="40">
        <f>C12*G12</f>
        <v/>
      </c>
      <c r="I12" s="41" t="inlineStr">
        <is>
          <t>欧松板打底石膏板封面，辅料、人工及机具费。</t>
        </is>
      </c>
      <c r="J12" s="33" t="n"/>
      <c r="K12" s="33" t="n"/>
      <c r="L12" s="33" t="n"/>
    </row>
    <row r="13" ht="17.25" customFormat="1" customHeight="1" s="5">
      <c r="A13" s="42" t="n">
        <v>5</v>
      </c>
      <c r="B13" s="53" t="inlineStr">
        <is>
          <t>50-60MM优质艺术石膏线</t>
        </is>
      </c>
      <c r="C13" s="40" t="n"/>
      <c r="D13" s="42" t="inlineStr">
        <is>
          <t>M</t>
        </is>
      </c>
      <c r="E13" s="42" t="n">
        <v>14</v>
      </c>
      <c r="F13" s="40">
        <f>C13*E13</f>
        <v/>
      </c>
      <c r="G13" s="42" t="n">
        <v>8</v>
      </c>
      <c r="H13" s="40">
        <f>C13*G13</f>
        <v/>
      </c>
      <c r="I13" s="54" t="inlineStr">
        <is>
          <t>1、普通艺术石膏线、快粘粉粘贴、直钉固定。2、人工及机具费。</t>
        </is>
      </c>
      <c r="J13" s="55" t="n"/>
    </row>
    <row r="14" ht="17.25" customFormat="1" customHeight="1" s="5">
      <c r="A14" s="42" t="n">
        <v>6</v>
      </c>
      <c r="B14" s="56" t="inlineStr">
        <is>
          <t>80MM优质艺术石膏线</t>
        </is>
      </c>
      <c r="C14" s="40" t="n"/>
      <c r="D14" s="42" t="inlineStr">
        <is>
          <t>M</t>
        </is>
      </c>
      <c r="E14" s="42" t="n">
        <v>16</v>
      </c>
      <c r="F14" s="40">
        <f>C14*E14</f>
        <v/>
      </c>
      <c r="G14" s="42" t="n">
        <v>10</v>
      </c>
      <c r="H14" s="40">
        <f>C14*G14</f>
        <v/>
      </c>
      <c r="I14" s="54" t="inlineStr">
        <is>
          <t>1、普通艺术石膏线、快粘粉粘贴、直钉固定。2、人工及机具费。</t>
        </is>
      </c>
      <c r="J14" s="55" t="n"/>
    </row>
    <row r="15" ht="17.25" customHeight="1">
      <c r="A15" s="42" t="n">
        <v>7</v>
      </c>
      <c r="B15" s="54" t="inlineStr">
        <is>
          <t>艺术石膏线刷漆</t>
        </is>
      </c>
      <c r="C15" s="40" t="n"/>
      <c r="D15" s="42" t="inlineStr">
        <is>
          <t>M</t>
        </is>
      </c>
      <c r="E15" s="42" t="n">
        <v>4</v>
      </c>
      <c r="F15" s="40">
        <f>C15*E15</f>
        <v/>
      </c>
      <c r="G15" s="42" t="n">
        <v>6.5</v>
      </c>
      <c r="H15" s="40">
        <f>C15*G15</f>
        <v/>
      </c>
      <c r="I15" s="54" t="inlineStr">
        <is>
          <t>石膏线或PU角线刷漆</t>
        </is>
      </c>
    </row>
    <row r="16" ht="25" customFormat="1" customHeight="1" s="6">
      <c r="A16" s="42" t="n">
        <v>8</v>
      </c>
      <c r="B16" s="57" t="inlineStr">
        <is>
          <t>客厅及餐厅正铺地砖（300-800MM）</t>
        </is>
      </c>
      <c r="C16" s="49" t="n"/>
      <c r="D16" s="49" t="inlineStr">
        <is>
          <t>M2</t>
        </is>
      </c>
      <c r="E16" s="49" t="n">
        <v>28</v>
      </c>
      <c r="F16" s="49">
        <f>C16*E16</f>
        <v/>
      </c>
      <c r="G16" s="49" t="n">
        <v>32</v>
      </c>
      <c r="H16" s="49">
        <f>C16*G16</f>
        <v/>
      </c>
      <c r="I16" s="50" t="inlineStr">
        <is>
          <t>１、强度32.5MPa普通硅酸盐水泥、水泥沙浆铺设等辅料及人工工资。2、地砖、水泥、砂浆厚度超过4CM按找平另计。（地砖业主自购）</t>
        </is>
      </c>
      <c r="J16" s="58" t="n"/>
      <c r="K16" s="58" t="n"/>
      <c r="L16" s="58" t="n"/>
    </row>
    <row r="17" ht="16.5" customHeight="1">
      <c r="A17" s="42" t="n">
        <v>9</v>
      </c>
      <c r="B17" s="43" t="inlineStr">
        <is>
          <t>勾缝处理</t>
        </is>
      </c>
      <c r="C17" s="40" t="n"/>
      <c r="D17" s="40" t="inlineStr">
        <is>
          <t>M2</t>
        </is>
      </c>
      <c r="E17" s="40" t="n">
        <v>0</v>
      </c>
      <c r="F17" s="40">
        <f>C17*E17</f>
        <v/>
      </c>
      <c r="G17" s="40" t="n">
        <v>2.5</v>
      </c>
      <c r="H17" s="40">
        <f>C17*G17</f>
        <v/>
      </c>
      <c r="I17" s="41" t="inlineStr">
        <is>
          <t>人工、辅料及瓷砖缝清洗</t>
        </is>
      </c>
      <c r="J17" s="33" t="n"/>
      <c r="K17" s="33" t="n"/>
      <c r="L17" s="33" t="n"/>
    </row>
    <row r="18" ht="16.5" customHeight="1">
      <c r="A18" s="42" t="n">
        <v>10</v>
      </c>
      <c r="B18" s="59" t="inlineStr">
        <is>
          <t>造型基层</t>
        </is>
      </c>
      <c r="C18" s="42" t="n"/>
      <c r="D18" s="42" t="inlineStr">
        <is>
          <t>M2</t>
        </is>
      </c>
      <c r="E18" s="42" t="n">
        <v>135</v>
      </c>
      <c r="F18" s="40">
        <f>C18*E18</f>
        <v/>
      </c>
      <c r="G18" s="42" t="n">
        <v>95</v>
      </c>
      <c r="H18" s="40">
        <f>C18*G18</f>
        <v/>
      </c>
      <c r="I18" s="54" t="inlineStr">
        <is>
          <t>木龙骨框架结构，膨胀螺丝固定，欧松板封面刷防潮油、人工及机具费。（***业主自购）</t>
        </is>
      </c>
    </row>
    <row r="19" ht="16.5" customHeight="1">
      <c r="A19" s="42" t="n">
        <v>11</v>
      </c>
      <c r="B19" s="43" t="inlineStr">
        <is>
          <t>墙顶面基层加固</t>
        </is>
      </c>
      <c r="C19" s="40" t="n"/>
      <c r="D19" s="42" t="inlineStr">
        <is>
          <t>M2</t>
        </is>
      </c>
      <c r="E19" s="40" t="n">
        <v>2</v>
      </c>
      <c r="F19" s="40">
        <f>C19*E19</f>
        <v/>
      </c>
      <c r="G19" s="40" t="n">
        <v>4</v>
      </c>
      <c r="H19" s="40">
        <f>C19*G19</f>
        <v/>
      </c>
      <c r="I19" s="41" t="inlineStr">
        <is>
          <t>德高界面剂、人工及机具费。</t>
        </is>
      </c>
      <c r="J19" s="33" t="n"/>
      <c r="K19" s="33" t="n"/>
      <c r="L19" s="33" t="n"/>
    </row>
    <row r="20" ht="27" customHeight="1">
      <c r="A20" s="42" t="n">
        <v>12</v>
      </c>
      <c r="B20" s="43" t="inlineStr">
        <is>
          <t>墙面基层处理（鸟巢腻子）</t>
        </is>
      </c>
      <c r="C20" s="40" t="n"/>
      <c r="D20" s="40" t="inlineStr">
        <is>
          <t>M2</t>
        </is>
      </c>
      <c r="E20" s="40" t="n">
        <v>19</v>
      </c>
      <c r="F20" s="40">
        <f>C20*E20</f>
        <v/>
      </c>
      <c r="G20" s="40" t="n">
        <v>13</v>
      </c>
      <c r="H20" s="40">
        <f>C20*G20</f>
        <v/>
      </c>
      <c r="I20" s="41" t="inlineStr">
        <is>
          <t>鸟巢水性嵌缝石膏补顶缝、瑞安健康找平腻子底层、瑞安健康腻子面层、白布、砂纸、牛皮纸、人工及机具费。</t>
        </is>
      </c>
      <c r="J20" s="33" t="n"/>
      <c r="K20" s="33" t="n"/>
      <c r="L20" s="33" t="n"/>
    </row>
    <row r="21" ht="27" customHeight="1">
      <c r="A21" s="42" t="n">
        <v>13</v>
      </c>
      <c r="B21" s="43" t="inlineStr">
        <is>
          <t>芬琳芬华五合一内墙乳胶漆</t>
        </is>
      </c>
      <c r="C21" s="40" t="n"/>
      <c r="D21" s="40" t="inlineStr">
        <is>
          <t>M2</t>
        </is>
      </c>
      <c r="E21" s="40" t="n">
        <v>12</v>
      </c>
      <c r="F21" s="40">
        <f>C21*E21</f>
        <v/>
      </c>
      <c r="G21" s="40" t="n">
        <v>7</v>
      </c>
      <c r="H21" s="40">
        <f>C21*G21</f>
        <v/>
      </c>
      <c r="I21" s="41" t="inlineStr">
        <is>
          <t>1、底漆、面漆、人工及机具费。(有色漆每平米另加3元、若要求喷漆另加3元）</t>
        </is>
      </c>
      <c r="J21" s="33" t="n"/>
      <c r="K21" s="33" t="n"/>
      <c r="L21" s="33" t="n"/>
    </row>
    <row r="22" ht="17.15" customHeight="1">
      <c r="A22" s="42" t="n">
        <v>14</v>
      </c>
      <c r="B22" s="43" t="inlineStr">
        <is>
          <t>墙面漆护角</t>
        </is>
      </c>
      <c r="C22" s="40" t="n"/>
      <c r="D22" s="40" t="inlineStr">
        <is>
          <t>项</t>
        </is>
      </c>
      <c r="E22" s="40" t="n">
        <v>160</v>
      </c>
      <c r="F22" s="40">
        <f>C22*E22</f>
        <v/>
      </c>
      <c r="G22" s="40" t="n">
        <v>360</v>
      </c>
      <c r="H22" s="40">
        <f>C22*G22</f>
        <v/>
      </c>
      <c r="I22" s="41" t="inlineStr">
        <is>
          <t>天花及墙面阳角护角、人工及机具费。</t>
        </is>
      </c>
      <c r="J22" s="33" t="n"/>
      <c r="K22" s="33" t="n"/>
      <c r="L22" s="33" t="n"/>
    </row>
    <row r="23" ht="15" customHeight="1">
      <c r="A23" s="42" t="n">
        <v>15</v>
      </c>
      <c r="B23" s="43" t="inlineStr">
        <is>
          <t>防潮处理</t>
        </is>
      </c>
      <c r="C23" s="40" t="n"/>
      <c r="D23" s="40" t="inlineStr">
        <is>
          <t>M2</t>
        </is>
      </c>
      <c r="E23" s="40" t="n">
        <v>25</v>
      </c>
      <c r="F23" s="40">
        <f>C23*E23</f>
        <v/>
      </c>
      <c r="G23" s="40" t="n">
        <v>10</v>
      </c>
      <c r="H23" s="40">
        <f>C23*G23</f>
        <v/>
      </c>
      <c r="I23" s="41" t="inlineStr">
        <is>
          <t>1、木制作与墙面接触处刷防潮油，中间防潮棉相隔。2、人工工资</t>
        </is>
      </c>
      <c r="J23" s="33" t="n"/>
      <c r="K23" s="33" t="n"/>
      <c r="L23" s="33" t="n"/>
    </row>
    <row r="24" ht="15" customHeight="1">
      <c r="A24" s="42" t="n">
        <v>16</v>
      </c>
      <c r="B24" s="43" t="inlineStr">
        <is>
          <t>地面保护</t>
        </is>
      </c>
      <c r="C24" s="40" t="n"/>
      <c r="D24" s="40" t="inlineStr">
        <is>
          <t>M2</t>
        </is>
      </c>
      <c r="E24" s="40" t="n">
        <v>12</v>
      </c>
      <c r="F24" s="40">
        <f>C24*E24</f>
        <v/>
      </c>
      <c r="G24" s="40" t="n">
        <v>5</v>
      </c>
      <c r="H24" s="40">
        <f>C24*G24</f>
        <v/>
      </c>
      <c r="I24" s="41" t="inlineStr">
        <is>
          <t>广东帝豪装饰专用保护棉、辅料及人工</t>
        </is>
      </c>
      <c r="J24" s="33" t="n"/>
      <c r="K24" s="33" t="n"/>
      <c r="L24" s="33" t="n"/>
    </row>
    <row r="25" ht="18" customFormat="1" customHeight="1" s="7">
      <c r="A25" s="60" t="n"/>
      <c r="B25" s="61" t="inlineStr">
        <is>
          <t>小计</t>
        </is>
      </c>
      <c r="C25" s="60" t="n"/>
      <c r="D25" s="60" t="n"/>
      <c r="E25" s="60" t="n"/>
      <c r="F25" s="60">
        <f>SUM(F9:F24)</f>
        <v/>
      </c>
      <c r="G25" s="60" t="n"/>
      <c r="H25" s="60">
        <f>SUM(H9:H24)</f>
        <v/>
      </c>
      <c r="I25" s="62" t="n"/>
      <c r="J25" s="63" t="n"/>
      <c r="K25" s="63" t="n"/>
      <c r="L25" s="63" t="n"/>
    </row>
    <row r="26" ht="18" customHeight="1">
      <c r="A26" s="38" t="inlineStr">
        <is>
          <t>二</t>
        </is>
      </c>
      <c r="B26" s="64" t="inlineStr">
        <is>
          <t>厨房</t>
        </is>
      </c>
      <c r="C26" s="40" t="n"/>
      <c r="D26" s="40" t="n"/>
      <c r="E26" s="40" t="n"/>
      <c r="F26" s="40" t="n"/>
      <c r="G26" s="40" t="n"/>
      <c r="H26" s="40" t="n"/>
      <c r="I26" s="41" t="n"/>
      <c r="J26" s="33" t="n"/>
      <c r="K26" s="33" t="n"/>
      <c r="L26" s="33" t="n"/>
    </row>
    <row r="27" ht="24" customFormat="1" customHeight="1" s="6">
      <c r="A27" s="49" t="n">
        <v>1</v>
      </c>
      <c r="B27" s="65" t="inlineStr">
        <is>
          <t>铺地砖（正贴）</t>
        </is>
      </c>
      <c r="C27" s="49" t="n"/>
      <c r="D27" s="49" t="inlineStr">
        <is>
          <t>M2</t>
        </is>
      </c>
      <c r="E27" s="49" t="n">
        <v>28</v>
      </c>
      <c r="F27" s="49">
        <f>C27*E27</f>
        <v/>
      </c>
      <c r="G27" s="49" t="n">
        <v>32</v>
      </c>
      <c r="H27" s="49">
        <f>C27*G27</f>
        <v/>
      </c>
      <c r="I27" s="50" t="inlineStr">
        <is>
          <t>１、强度32.5MPa普通硅酸盐水泥、水泥沙浆铺设等辅料及人工工资。2、地砖、水泥、砂浆厚度超过4CM按找平另计。（地砖业主自购）</t>
        </is>
      </c>
      <c r="J27" s="58" t="n"/>
      <c r="K27" s="58" t="n"/>
      <c r="L27" s="58" t="n"/>
    </row>
    <row r="28" ht="15" customFormat="1" customHeight="1" s="6">
      <c r="A28" s="49" t="n">
        <v>2</v>
      </c>
      <c r="B28" s="65" t="inlineStr">
        <is>
          <t>墙面贴瓷片</t>
        </is>
      </c>
      <c r="C28" s="49" t="n"/>
      <c r="D28" s="49" t="inlineStr">
        <is>
          <t>M2</t>
        </is>
      </c>
      <c r="E28" s="49" t="n">
        <v>28</v>
      </c>
      <c r="F28" s="49">
        <f>C28*E28</f>
        <v/>
      </c>
      <c r="G28" s="49" t="n">
        <v>40</v>
      </c>
      <c r="H28" s="49">
        <f>C28*G28</f>
        <v/>
      </c>
      <c r="I28" s="50" t="inlineStr">
        <is>
          <t>强度32.5MPa水泥、水泥沙浆铺设及人工工资。（瓷片业主自购、瓷砖胶粘贴另加15元／M2）</t>
        </is>
      </c>
      <c r="J28" s="58" t="n"/>
      <c r="K28" s="58" t="n"/>
      <c r="L28" s="58" t="n"/>
    </row>
    <row r="29" ht="16" customHeight="1">
      <c r="A29" s="49" t="n">
        <v>3</v>
      </c>
      <c r="B29" s="45" t="inlineStr">
        <is>
          <t>墙面瓷砖刷背胶</t>
        </is>
      </c>
      <c r="C29" s="40" t="n"/>
      <c r="D29" s="40" t="inlineStr">
        <is>
          <t>M2</t>
        </is>
      </c>
      <c r="E29" s="40" t="n">
        <v>0</v>
      </c>
      <c r="F29" s="40">
        <f>C29*E29</f>
        <v/>
      </c>
      <c r="G29" s="40" t="n">
        <v>9</v>
      </c>
      <c r="H29" s="40">
        <f>C29*G29</f>
        <v/>
      </c>
      <c r="I29" s="41" t="inlineStr">
        <is>
          <t>瓷砖背面刷瓷砖背胶，人工及机具费。（背胶业主自购）</t>
        </is>
      </c>
      <c r="J29" s="33" t="n"/>
      <c r="K29" s="33" t="n"/>
      <c r="L29" s="33" t="n"/>
    </row>
    <row r="30" ht="15" customFormat="1" customHeight="1" s="8">
      <c r="A30" s="49" t="n">
        <v>4</v>
      </c>
      <c r="B30" s="66" t="inlineStr">
        <is>
          <t>墙面瓷片碰角加工</t>
        </is>
      </c>
      <c r="C30" s="40" t="n"/>
      <c r="D30" s="40" t="inlineStr">
        <is>
          <t>M</t>
        </is>
      </c>
      <c r="E30" s="40" t="n">
        <v>8</v>
      </c>
      <c r="F30" s="40">
        <f>C30*E30</f>
        <v/>
      </c>
      <c r="G30" s="40" t="n">
        <v>20</v>
      </c>
      <c r="H30" s="40">
        <f>C30*G30</f>
        <v/>
      </c>
      <c r="I30" s="41" t="inlineStr">
        <is>
          <t>1、双面瓷片加工内边成直角拼接。2、人工及机具费。</t>
        </is>
      </c>
      <c r="J30" s="67" t="n"/>
      <c r="K30" s="67" t="n"/>
      <c r="L30" s="67" t="n"/>
    </row>
    <row r="31" ht="15" customHeight="1">
      <c r="A31" s="49" t="n">
        <v>5</v>
      </c>
      <c r="B31" s="43" t="inlineStr">
        <is>
          <t>勾缝处理</t>
        </is>
      </c>
      <c r="C31" s="40" t="n"/>
      <c r="D31" s="40" t="inlineStr">
        <is>
          <t>M2</t>
        </is>
      </c>
      <c r="E31" s="40" t="n">
        <v>0</v>
      </c>
      <c r="F31" s="40">
        <f>C31*E31</f>
        <v/>
      </c>
      <c r="G31" s="40" t="n">
        <v>2.5</v>
      </c>
      <c r="H31" s="40">
        <f>C31*G31</f>
        <v/>
      </c>
      <c r="I31" s="41" t="inlineStr">
        <is>
          <t>人工及瓷砖缝清洗</t>
        </is>
      </c>
      <c r="J31" s="33" t="n"/>
      <c r="K31" s="33" t="n"/>
      <c r="L31" s="33" t="n"/>
    </row>
    <row r="32" ht="15" customHeight="1">
      <c r="A32" s="49" t="n">
        <v>6</v>
      </c>
      <c r="B32" s="43" t="inlineStr">
        <is>
          <t>地面防水处理</t>
        </is>
      </c>
      <c r="C32" s="40" t="n"/>
      <c r="D32" s="40" t="inlineStr">
        <is>
          <t>M2</t>
        </is>
      </c>
      <c r="E32" s="40" t="n">
        <v>45</v>
      </c>
      <c r="F32" s="40">
        <f>C32*E32</f>
        <v/>
      </c>
      <c r="G32" s="40" t="n">
        <v>20</v>
      </c>
      <c r="H32" s="40">
        <f>C32*G32</f>
        <v/>
      </c>
      <c r="I32" s="41" t="inlineStr">
        <is>
          <t>1、德高防水（柔性）、高度300MM。2、人工及机具费</t>
        </is>
      </c>
      <c r="J32" s="33" t="n"/>
      <c r="K32" s="33" t="n"/>
      <c r="L32" s="33" t="n"/>
    </row>
    <row r="33" ht="15" customHeight="1">
      <c r="A33" s="49" t="n">
        <v>7</v>
      </c>
      <c r="B33" s="43" t="inlineStr">
        <is>
          <t>地面保护</t>
        </is>
      </c>
      <c r="C33" s="40" t="n"/>
      <c r="D33" s="40" t="inlineStr">
        <is>
          <t>M2</t>
        </is>
      </c>
      <c r="E33" s="40" t="n">
        <v>12</v>
      </c>
      <c r="F33" s="40">
        <f>C33*E33</f>
        <v/>
      </c>
      <c r="G33" s="40" t="n">
        <v>5</v>
      </c>
      <c r="H33" s="40">
        <f>C33*G33</f>
        <v/>
      </c>
      <c r="I33" s="41" t="inlineStr">
        <is>
          <t>广东帝豪装饰专用保护棉、辅料及人工</t>
        </is>
      </c>
      <c r="J33" s="33" t="n"/>
      <c r="K33" s="33" t="n"/>
      <c r="L33" s="33" t="n"/>
    </row>
    <row r="34" ht="17.25" customFormat="1" customHeight="1" s="9">
      <c r="A34" s="68" t="n"/>
      <c r="B34" s="69" t="inlineStr">
        <is>
          <t>小计</t>
        </is>
      </c>
      <c r="C34" s="68" t="n"/>
      <c r="D34" s="68" t="n"/>
      <c r="E34" s="70" t="n"/>
      <c r="F34" s="71">
        <f>SUM(F27:F33)</f>
        <v/>
      </c>
      <c r="G34" s="68" t="n"/>
      <c r="H34" s="71">
        <f>SUM(H27:H33)</f>
        <v/>
      </c>
      <c r="I34" s="72" t="n"/>
      <c r="J34" s="73" t="n"/>
      <c r="K34" s="73" t="n"/>
      <c r="L34" s="73" t="n"/>
    </row>
    <row r="35" ht="17.25" customHeight="1">
      <c r="A35" s="40" t="inlineStr">
        <is>
          <t>三</t>
        </is>
      </c>
      <c r="B35" s="64" t="inlineStr">
        <is>
          <t>公卫</t>
        </is>
      </c>
      <c r="C35" s="40" t="n"/>
      <c r="D35" s="40" t="n"/>
      <c r="E35" s="40" t="n"/>
      <c r="F35" s="40" t="n"/>
      <c r="G35" s="40" t="n"/>
      <c r="H35" s="40" t="n"/>
      <c r="I35" s="41" t="n"/>
      <c r="J35" s="33" t="n"/>
      <c r="K35" s="33" t="n"/>
      <c r="L35" s="33" t="n"/>
    </row>
    <row r="36" ht="24" customFormat="1" customHeight="1" s="6">
      <c r="A36" s="49" t="n">
        <v>1</v>
      </c>
      <c r="B36" s="65" t="inlineStr">
        <is>
          <t>铺地砖（正贴）</t>
        </is>
      </c>
      <c r="C36" s="49" t="n"/>
      <c r="D36" s="49" t="inlineStr">
        <is>
          <t>M2</t>
        </is>
      </c>
      <c r="E36" s="49" t="n">
        <v>28</v>
      </c>
      <c r="F36" s="49">
        <f>C36*E36</f>
        <v/>
      </c>
      <c r="G36" s="49" t="n">
        <v>32</v>
      </c>
      <c r="H36" s="49">
        <f>C36*G36</f>
        <v/>
      </c>
      <c r="I36" s="50" t="inlineStr">
        <is>
          <t>１、强度32.5MPa普通硅酸盐水泥、水泥沙浆铺设等辅料及人工工资。2、地砖、水泥、砂浆厚度超过4CM按找平另计。（地砖业主自购）</t>
        </is>
      </c>
      <c r="J36" s="58" t="n"/>
      <c r="K36" s="58" t="n"/>
      <c r="L36" s="58" t="n"/>
    </row>
    <row r="37" ht="14.25" customFormat="1" customHeight="1" s="6">
      <c r="A37" s="49" t="n">
        <v>2</v>
      </c>
      <c r="B37" s="65" t="inlineStr">
        <is>
          <t>墙面贴瓷片</t>
        </is>
      </c>
      <c r="C37" s="49" t="n"/>
      <c r="D37" s="49" t="inlineStr">
        <is>
          <t>M2</t>
        </is>
      </c>
      <c r="E37" s="49" t="n">
        <v>28</v>
      </c>
      <c r="F37" s="49">
        <f>C37*E37</f>
        <v/>
      </c>
      <c r="G37" s="49" t="n">
        <v>40</v>
      </c>
      <c r="H37" s="49">
        <f>C37*G37</f>
        <v/>
      </c>
      <c r="I37" s="50" t="inlineStr">
        <is>
          <t>强度32.5MPa水泥、水泥沙浆铺设及人工工资。（瓷片业主自购、瓷砖胶粘贴另加15元／M2）</t>
        </is>
      </c>
      <c r="J37" s="58" t="n"/>
      <c r="K37" s="58" t="n"/>
      <c r="L37" s="58" t="n"/>
    </row>
    <row r="38" ht="16" customHeight="1">
      <c r="A38" s="49" t="n">
        <v>3</v>
      </c>
      <c r="B38" s="45" t="inlineStr">
        <is>
          <t>墙面瓷砖刷背胶</t>
        </is>
      </c>
      <c r="C38" s="40" t="n"/>
      <c r="D38" s="40" t="inlineStr">
        <is>
          <t>M2</t>
        </is>
      </c>
      <c r="E38" s="40" t="n">
        <v>0</v>
      </c>
      <c r="F38" s="40">
        <f>C38*E38</f>
        <v/>
      </c>
      <c r="G38" s="40" t="n">
        <v>9</v>
      </c>
      <c r="H38" s="40">
        <f>C38*G38</f>
        <v/>
      </c>
      <c r="I38" s="41" t="inlineStr">
        <is>
          <t>瓷砖背面刷瓷砖背胶，人工及机具费。（背胶业主自购）</t>
        </is>
      </c>
      <c r="J38" s="33" t="n"/>
      <c r="K38" s="33" t="n"/>
      <c r="L38" s="33" t="n"/>
    </row>
    <row r="39" ht="14.25" customFormat="1" customHeight="1" s="8">
      <c r="A39" s="49" t="n">
        <v>4</v>
      </c>
      <c r="B39" s="66" t="inlineStr">
        <is>
          <t>墙面瓷片碰角加工</t>
        </is>
      </c>
      <c r="C39" s="40" t="n"/>
      <c r="D39" s="40" t="inlineStr">
        <is>
          <t>M</t>
        </is>
      </c>
      <c r="E39" s="40" t="n">
        <v>8</v>
      </c>
      <c r="F39" s="40">
        <f>C39*E39</f>
        <v/>
      </c>
      <c r="G39" s="40" t="n">
        <v>20</v>
      </c>
      <c r="H39" s="40">
        <f>C39*G39</f>
        <v/>
      </c>
      <c r="I39" s="41" t="inlineStr">
        <is>
          <t>1、双面瓷片加工内边成直角拼接。2、人工及机具费。</t>
        </is>
      </c>
      <c r="J39" s="67" t="n"/>
      <c r="K39" s="67" t="n"/>
      <c r="L39" s="67" t="n"/>
    </row>
    <row r="40" ht="14" customHeight="1">
      <c r="A40" s="49" t="n">
        <v>5</v>
      </c>
      <c r="B40" s="43" t="inlineStr">
        <is>
          <t>勾缝处理</t>
        </is>
      </c>
      <c r="C40" s="40" t="n"/>
      <c r="D40" s="40" t="inlineStr">
        <is>
          <t>M2</t>
        </is>
      </c>
      <c r="E40" s="40" t="n"/>
      <c r="F40" s="40">
        <f>C40*E40</f>
        <v/>
      </c>
      <c r="G40" s="40" t="n">
        <v>2.5</v>
      </c>
      <c r="H40" s="40">
        <f>C40*G40</f>
        <v/>
      </c>
      <c r="I40" s="41" t="inlineStr">
        <is>
          <t>人工及瓷砖缝清洗</t>
        </is>
      </c>
      <c r="J40" s="33" t="n"/>
      <c r="K40" s="33" t="n"/>
      <c r="L40" s="33" t="n"/>
    </row>
    <row r="41" ht="15" customHeight="1">
      <c r="A41" s="49" t="n">
        <v>6</v>
      </c>
      <c r="B41" s="43" t="inlineStr">
        <is>
          <t>地面防水处理</t>
        </is>
      </c>
      <c r="C41" s="40" t="n"/>
      <c r="D41" s="40" t="inlineStr">
        <is>
          <t>M2</t>
        </is>
      </c>
      <c r="E41" s="40" t="n">
        <v>45</v>
      </c>
      <c r="F41" s="40">
        <f>C41*E41</f>
        <v/>
      </c>
      <c r="G41" s="40" t="n">
        <v>20</v>
      </c>
      <c r="H41" s="40">
        <f>C41*G41</f>
        <v/>
      </c>
      <c r="I41" s="41" t="inlineStr">
        <is>
          <t>德高防水（柔性）,人工及机具费</t>
        </is>
      </c>
      <c r="J41" s="33" t="n"/>
      <c r="K41" s="33" t="n"/>
      <c r="L41" s="33" t="n"/>
    </row>
    <row r="42" ht="14.25" customHeight="1">
      <c r="A42" s="49" t="n">
        <v>7</v>
      </c>
      <c r="B42" s="43" t="inlineStr">
        <is>
          <t>地面防水保护层</t>
        </is>
      </c>
      <c r="C42" s="40" t="n"/>
      <c r="D42" s="40" t="inlineStr">
        <is>
          <t>M2</t>
        </is>
      </c>
      <c r="E42" s="40" t="n">
        <v>22</v>
      </c>
      <c r="F42" s="40">
        <f>C42*E42</f>
        <v/>
      </c>
      <c r="G42" s="40" t="n">
        <v>12</v>
      </c>
      <c r="H42" s="40">
        <f>C42*G42</f>
        <v/>
      </c>
      <c r="I42" s="41" t="inlineStr">
        <is>
          <t>水泥、沙对已完工防水工程表面覆盖保护，厚度3-5公分</t>
        </is>
      </c>
      <c r="J42" s="33" t="n"/>
      <c r="K42" s="33" t="n"/>
      <c r="L42" s="33" t="n"/>
    </row>
    <row r="43" ht="15" customHeight="1">
      <c r="A43" s="49" t="n">
        <v>8</v>
      </c>
      <c r="B43" s="43" t="inlineStr">
        <is>
          <t>墙面防水层</t>
        </is>
      </c>
      <c r="C43" s="40" t="n"/>
      <c r="D43" s="40" t="inlineStr">
        <is>
          <t>M2</t>
        </is>
      </c>
      <c r="E43" s="40" t="n">
        <v>45</v>
      </c>
      <c r="F43" s="40">
        <f>C43*E43</f>
        <v/>
      </c>
      <c r="G43" s="40" t="n">
        <v>20</v>
      </c>
      <c r="H43" s="40">
        <f>C43*G43</f>
        <v/>
      </c>
      <c r="I43" s="41" t="inlineStr">
        <is>
          <t>1、墙面清理干净。2、德高防水（钢性）。3、人工及机具费</t>
        </is>
      </c>
      <c r="J43" s="33" t="n"/>
      <c r="K43" s="33" t="n"/>
      <c r="L43" s="33" t="n"/>
    </row>
    <row r="44" ht="15" customHeight="1">
      <c r="A44" s="49" t="n">
        <v>9</v>
      </c>
      <c r="B44" s="43" t="inlineStr">
        <is>
          <t>地面保护</t>
        </is>
      </c>
      <c r="C44" s="40" t="n"/>
      <c r="D44" s="40" t="inlineStr">
        <is>
          <t>M2</t>
        </is>
      </c>
      <c r="E44" s="40" t="n">
        <v>12</v>
      </c>
      <c r="F44" s="40">
        <f>C44*E44</f>
        <v/>
      </c>
      <c r="G44" s="40" t="n">
        <v>5</v>
      </c>
      <c r="H44" s="40">
        <f>C44*G44</f>
        <v/>
      </c>
      <c r="I44" s="41" t="inlineStr">
        <is>
          <t>广东帝豪装饰专用保护棉、辅料及人工</t>
        </is>
      </c>
      <c r="J44" s="33" t="n"/>
      <c r="K44" s="33" t="n"/>
      <c r="L44" s="33" t="n"/>
    </row>
    <row r="45" ht="18" customFormat="1" customHeight="1" s="7">
      <c r="A45" s="60" t="n"/>
      <c r="B45" s="61" t="inlineStr">
        <is>
          <t>小计</t>
        </is>
      </c>
      <c r="C45" s="60" t="n"/>
      <c r="D45" s="60" t="n"/>
      <c r="E45" s="60" t="n"/>
      <c r="F45" s="60">
        <f>SUM(F36:F44)</f>
        <v/>
      </c>
      <c r="G45" s="60" t="n"/>
      <c r="H45" s="60">
        <f>SUM(H36:H44)</f>
        <v/>
      </c>
      <c r="I45" s="62" t="n"/>
      <c r="J45" s="63" t="n"/>
      <c r="K45" s="63" t="n"/>
      <c r="L45" s="63" t="n"/>
    </row>
    <row r="46" ht="18.75" customHeight="1">
      <c r="A46" s="38" t="inlineStr">
        <is>
          <t>四</t>
        </is>
      </c>
      <c r="B46" s="39" t="inlineStr">
        <is>
          <t>主卧</t>
        </is>
      </c>
      <c r="C46" s="145" t="n"/>
      <c r="D46" s="145" t="n"/>
      <c r="E46" s="146" t="n"/>
      <c r="F46" s="40" t="n"/>
      <c r="G46" s="40" t="n"/>
      <c r="H46" s="40" t="n"/>
      <c r="I46" s="41" t="n"/>
      <c r="J46" s="33" t="n"/>
      <c r="K46" s="33" t="n"/>
      <c r="L46" s="33" t="n"/>
    </row>
    <row r="47" ht="24" customFormat="1" customHeight="1" s="10">
      <c r="A47" s="49" t="n">
        <v>1</v>
      </c>
      <c r="B47" s="65" t="inlineStr">
        <is>
          <t>地面找平</t>
        </is>
      </c>
      <c r="C47" s="49" t="n"/>
      <c r="D47" s="49" t="inlineStr">
        <is>
          <t>M2</t>
        </is>
      </c>
      <c r="E47" s="49" t="n">
        <v>26</v>
      </c>
      <c r="F47" s="49">
        <f>C47*E47</f>
        <v/>
      </c>
      <c r="G47" s="49" t="n">
        <v>20</v>
      </c>
      <c r="H47" s="49">
        <f>C47*G47</f>
        <v/>
      </c>
      <c r="I47" s="50" t="inlineStr">
        <is>
          <t>1、原地面清理、强度325MPa普通硅酸盐水、中沙水泥沙浆抹平、原地面水平放线、凸筋处理。2、找平厚度如超过4CM按双面计算、人工及机具费</t>
        </is>
      </c>
      <c r="J47" s="77" t="n"/>
      <c r="K47" s="77" t="n"/>
      <c r="L47" s="77" t="n"/>
    </row>
    <row r="48" ht="17" customHeight="1">
      <c r="A48" s="49" t="n">
        <v>2</v>
      </c>
      <c r="B48" s="46" t="inlineStr">
        <is>
          <t>石膏板平面天花</t>
        </is>
      </c>
      <c r="C48" s="42" t="n"/>
      <c r="D48" s="40" t="inlineStr">
        <is>
          <t>M2</t>
        </is>
      </c>
      <c r="E48" s="42" t="n">
        <v>95</v>
      </c>
      <c r="F48" s="40">
        <f>C48*E48</f>
        <v/>
      </c>
      <c r="G48" s="42" t="n">
        <v>55</v>
      </c>
      <c r="H48" s="40">
        <f>C48*G48</f>
        <v/>
      </c>
      <c r="I48" s="41" t="inlineStr">
        <is>
          <t>木龙骨或轻钢龙骨框架结构、膨胀螺丝固定、纸面石膏板封面（以展开面积计算)、乳胶漆另计</t>
        </is>
      </c>
    </row>
    <row r="49" ht="16.5" customHeight="1">
      <c r="A49" s="49" t="n">
        <v>3</v>
      </c>
      <c r="B49" s="43" t="inlineStr">
        <is>
          <t>墙顶面基层加固</t>
        </is>
      </c>
      <c r="C49" s="40" t="n"/>
      <c r="D49" s="42" t="inlineStr">
        <is>
          <t>M2</t>
        </is>
      </c>
      <c r="E49" s="40" t="n">
        <v>2</v>
      </c>
      <c r="F49" s="40">
        <f>C49*E49</f>
        <v/>
      </c>
      <c r="G49" s="40" t="n">
        <v>4</v>
      </c>
      <c r="H49" s="40">
        <f>C49*G49</f>
        <v/>
      </c>
      <c r="I49" s="41" t="inlineStr">
        <is>
          <t>德高界面剂、人工及机具费。</t>
        </is>
      </c>
      <c r="J49" s="33" t="n"/>
      <c r="K49" s="33" t="n"/>
      <c r="L49" s="33" t="n"/>
    </row>
    <row r="50" ht="26.25" customHeight="1">
      <c r="A50" s="49" t="n">
        <v>4</v>
      </c>
      <c r="B50" s="43" t="inlineStr">
        <is>
          <t>墙面基层处理（鸟巢腻子）</t>
        </is>
      </c>
      <c r="C50" s="40" t="n"/>
      <c r="D50" s="40" t="inlineStr">
        <is>
          <t>M2</t>
        </is>
      </c>
      <c r="E50" s="40" t="n">
        <v>19</v>
      </c>
      <c r="F50" s="40">
        <f>C50*E50</f>
        <v/>
      </c>
      <c r="G50" s="40" t="n">
        <v>13</v>
      </c>
      <c r="H50" s="40">
        <f>C50*G50</f>
        <v/>
      </c>
      <c r="I50" s="41" t="inlineStr">
        <is>
          <t>鸟巢水性嵌缝石膏补顶缝、瑞安健康找平腻子底层、瑞安健康腻子面层、白布、砂纸、牛皮纸、人工及机具费。</t>
        </is>
      </c>
      <c r="J50" s="33" t="n"/>
      <c r="K50" s="33" t="n"/>
      <c r="L50" s="33" t="n"/>
    </row>
    <row r="51" ht="27" customHeight="1">
      <c r="A51" s="49" t="n">
        <v>5</v>
      </c>
      <c r="B51" s="43" t="inlineStr">
        <is>
          <t>芬琳芬华五合一内墙乳胶漆</t>
        </is>
      </c>
      <c r="C51" s="40" t="n"/>
      <c r="D51" s="40" t="inlineStr">
        <is>
          <t>M2</t>
        </is>
      </c>
      <c r="E51" s="40" t="n">
        <v>12</v>
      </c>
      <c r="F51" s="40">
        <f>C51*E51</f>
        <v/>
      </c>
      <c r="G51" s="40" t="n">
        <v>7</v>
      </c>
      <c r="H51" s="40">
        <f>C51*G51</f>
        <v/>
      </c>
      <c r="I51" s="41" t="inlineStr">
        <is>
          <t>1、底漆、面漆、人工及机具费。(有色漆每平米另加3元、若要求喷漆另加3元）</t>
        </is>
      </c>
      <c r="J51" s="33" t="n"/>
      <c r="K51" s="33" t="n"/>
      <c r="L51" s="33" t="n"/>
    </row>
    <row r="52" ht="18" customFormat="1" customHeight="1" s="7">
      <c r="A52" s="60" t="n"/>
      <c r="B52" s="61" t="inlineStr">
        <is>
          <t>小计</t>
        </is>
      </c>
      <c r="C52" s="60" t="n"/>
      <c r="D52" s="60" t="n"/>
      <c r="E52" s="60" t="n"/>
      <c r="F52" s="60">
        <f>SUM(F47:F51)</f>
        <v/>
      </c>
      <c r="G52" s="60" t="n"/>
      <c r="H52" s="60">
        <f>SUM(H47:H51)</f>
        <v/>
      </c>
      <c r="I52" s="62" t="n"/>
      <c r="J52" s="63" t="n"/>
      <c r="K52" s="63" t="n"/>
      <c r="L52" s="63" t="n"/>
    </row>
    <row r="53" ht="18" customHeight="1">
      <c r="A53" s="38" t="inlineStr">
        <is>
          <t>五</t>
        </is>
      </c>
      <c r="B53" s="39" t="inlineStr">
        <is>
          <t>主卫</t>
        </is>
      </c>
      <c r="C53" s="40" t="n"/>
      <c r="D53" s="40" t="n"/>
      <c r="E53" s="40" t="n"/>
      <c r="F53" s="40" t="n"/>
      <c r="G53" s="40" t="n"/>
      <c r="H53" s="40" t="n"/>
      <c r="I53" s="41" t="n"/>
      <c r="J53" s="33" t="n"/>
      <c r="K53" s="33" t="n"/>
      <c r="L53" s="33" t="n"/>
    </row>
    <row r="54" ht="27" customFormat="1" customHeight="1" s="6">
      <c r="A54" s="49" t="n">
        <v>1</v>
      </c>
      <c r="B54" s="65" t="inlineStr">
        <is>
          <t>铺地砖（正贴）</t>
        </is>
      </c>
      <c r="C54" s="49" t="n"/>
      <c r="D54" s="49" t="inlineStr">
        <is>
          <t>M2</t>
        </is>
      </c>
      <c r="E54" s="49" t="n">
        <v>28</v>
      </c>
      <c r="F54" s="49">
        <f>C54*E54</f>
        <v/>
      </c>
      <c r="G54" s="49" t="n">
        <v>32</v>
      </c>
      <c r="H54" s="49">
        <f>C54*G54</f>
        <v/>
      </c>
      <c r="I54" s="50" t="inlineStr">
        <is>
          <t>１、强度32.5MPa普通硅酸盐水泥、水泥沙浆铺设等辅料及人工工资。2、地砖、水泥、砂浆厚度超过4CM按找平另计。（地砖业主自购）</t>
        </is>
      </c>
      <c r="J54" s="58" t="n"/>
      <c r="K54" s="58" t="n"/>
      <c r="L54" s="58" t="n"/>
    </row>
    <row r="55" ht="15" customFormat="1" customHeight="1" s="6">
      <c r="A55" s="49" t="n">
        <v>2</v>
      </c>
      <c r="B55" s="65" t="inlineStr">
        <is>
          <t>墙面贴瓷片</t>
        </is>
      </c>
      <c r="C55" s="49" t="n"/>
      <c r="D55" s="49" t="inlineStr">
        <is>
          <t>M2</t>
        </is>
      </c>
      <c r="E55" s="49" t="n">
        <v>28</v>
      </c>
      <c r="F55" s="49">
        <f>C55*E55</f>
        <v/>
      </c>
      <c r="G55" s="49" t="n">
        <v>40</v>
      </c>
      <c r="H55" s="49">
        <f>C55*G55</f>
        <v/>
      </c>
      <c r="I55" s="50" t="inlineStr">
        <is>
          <t>强度32.5MPa水泥、水泥沙浆铺设及人工工资。（瓷片业主自购、瓷砖胶粘贴另加15元／M2）</t>
        </is>
      </c>
      <c r="J55" s="58" t="n"/>
      <c r="K55" s="58" t="n"/>
      <c r="L55" s="58" t="n"/>
    </row>
    <row r="56" ht="16" customHeight="1">
      <c r="A56" s="49" t="n">
        <v>3</v>
      </c>
      <c r="B56" s="45" t="inlineStr">
        <is>
          <t>墙面瓷砖刷背胶</t>
        </is>
      </c>
      <c r="C56" s="40" t="n"/>
      <c r="D56" s="40" t="inlineStr">
        <is>
          <t>M2</t>
        </is>
      </c>
      <c r="E56" s="40" t="n">
        <v>0</v>
      </c>
      <c r="F56" s="40">
        <f>C56*E56</f>
        <v/>
      </c>
      <c r="G56" s="40" t="n">
        <v>9</v>
      </c>
      <c r="H56" s="40">
        <f>C56*G56</f>
        <v/>
      </c>
      <c r="I56" s="41" t="inlineStr">
        <is>
          <t>瓷砖背面刷瓷砖背胶，人工及机具费。（背胶业主自购）</t>
        </is>
      </c>
      <c r="J56" s="33" t="n"/>
      <c r="K56" s="33" t="n"/>
      <c r="L56" s="33" t="n"/>
    </row>
    <row r="57" ht="15" customFormat="1" customHeight="1" s="8">
      <c r="A57" s="49" t="n">
        <v>4</v>
      </c>
      <c r="B57" s="66" t="inlineStr">
        <is>
          <t>墙面瓷片碰角加工</t>
        </is>
      </c>
      <c r="C57" s="40" t="n"/>
      <c r="D57" s="40" t="inlineStr">
        <is>
          <t>M</t>
        </is>
      </c>
      <c r="E57" s="40" t="n">
        <v>8</v>
      </c>
      <c r="F57" s="40">
        <f>C57*E57</f>
        <v/>
      </c>
      <c r="G57" s="40" t="n">
        <v>20</v>
      </c>
      <c r="H57" s="40">
        <f>C57*G57</f>
        <v/>
      </c>
      <c r="I57" s="41" t="inlineStr">
        <is>
          <t>1、双面瓷片加工内边成直角拼接。2、人工及机具费。(如门套内需碰角另计)</t>
        </is>
      </c>
      <c r="J57" s="67" t="n"/>
      <c r="K57" s="67" t="n"/>
      <c r="L57" s="67" t="n"/>
    </row>
    <row r="58" ht="15" customHeight="1">
      <c r="A58" s="49" t="n">
        <v>5</v>
      </c>
      <c r="B58" s="43" t="inlineStr">
        <is>
          <t>勾缝处理</t>
        </is>
      </c>
      <c r="C58" s="40" t="n"/>
      <c r="D58" s="40" t="inlineStr">
        <is>
          <t>M2</t>
        </is>
      </c>
      <c r="E58" s="40" t="n"/>
      <c r="F58" s="40">
        <f>C58*E58</f>
        <v/>
      </c>
      <c r="G58" s="40" t="n">
        <v>2.5</v>
      </c>
      <c r="H58" s="40">
        <f>C58*G58</f>
        <v/>
      </c>
      <c r="I58" s="41" t="inlineStr">
        <is>
          <t>人工及瓷砖缝清洗</t>
        </is>
      </c>
      <c r="J58" s="33" t="n"/>
      <c r="K58" s="33" t="n"/>
      <c r="L58" s="33" t="n"/>
    </row>
    <row r="59" ht="15" customHeight="1">
      <c r="A59" s="49" t="n">
        <v>6</v>
      </c>
      <c r="B59" s="43" t="inlineStr">
        <is>
          <t>地面防水处理</t>
        </is>
      </c>
      <c r="C59" s="40" t="n"/>
      <c r="D59" s="40" t="inlineStr">
        <is>
          <t>M2</t>
        </is>
      </c>
      <c r="E59" s="40" t="n">
        <v>45</v>
      </c>
      <c r="F59" s="40">
        <f>C59*E59</f>
        <v/>
      </c>
      <c r="G59" s="40" t="n">
        <v>20</v>
      </c>
      <c r="H59" s="40">
        <f>C59*G59</f>
        <v/>
      </c>
      <c r="I59" s="41" t="inlineStr">
        <is>
          <t>德高防水（柔性）,人工及机具费</t>
        </is>
      </c>
      <c r="J59" s="33" t="n"/>
      <c r="K59" s="33" t="n"/>
      <c r="L59" s="33" t="n"/>
    </row>
    <row r="60" ht="14.25" customHeight="1">
      <c r="A60" s="49" t="n">
        <v>7</v>
      </c>
      <c r="B60" s="43" t="inlineStr">
        <is>
          <t>地面防水保护层</t>
        </is>
      </c>
      <c r="C60" s="40" t="n"/>
      <c r="D60" s="40" t="inlineStr">
        <is>
          <t>M2</t>
        </is>
      </c>
      <c r="E60" s="40" t="n">
        <v>22</v>
      </c>
      <c r="F60" s="40">
        <f>C60*E60</f>
        <v/>
      </c>
      <c r="G60" s="40" t="n">
        <v>12</v>
      </c>
      <c r="H60" s="40">
        <f>C60*G60</f>
        <v/>
      </c>
      <c r="I60" s="41" t="inlineStr">
        <is>
          <t>水泥、沙对已完工防水工程表面覆盖保护，厚度3-5公分</t>
        </is>
      </c>
      <c r="J60" s="33" t="n"/>
      <c r="K60" s="33" t="n"/>
      <c r="L60" s="33" t="n"/>
    </row>
    <row r="61" ht="15" customHeight="1">
      <c r="A61" s="49" t="n">
        <v>8</v>
      </c>
      <c r="B61" s="43" t="inlineStr">
        <is>
          <t>墙面防水层</t>
        </is>
      </c>
      <c r="C61" s="40" t="n"/>
      <c r="D61" s="40" t="inlineStr">
        <is>
          <t>M2</t>
        </is>
      </c>
      <c r="E61" s="40" t="n">
        <v>45</v>
      </c>
      <c r="F61" s="40">
        <f>C61*E61</f>
        <v/>
      </c>
      <c r="G61" s="40" t="n">
        <v>20</v>
      </c>
      <c r="H61" s="40">
        <f>C61*G61</f>
        <v/>
      </c>
      <c r="I61" s="41" t="inlineStr">
        <is>
          <t>1、墙面清理干净。2、德高防水（钢性）。3、人工及机具费</t>
        </is>
      </c>
      <c r="J61" s="33" t="n"/>
      <c r="K61" s="33" t="n"/>
      <c r="L61" s="33" t="n"/>
    </row>
    <row r="62" ht="15" customHeight="1">
      <c r="A62" s="49" t="n">
        <v>9</v>
      </c>
      <c r="B62" s="43" t="inlineStr">
        <is>
          <t>地面保护</t>
        </is>
      </c>
      <c r="C62" s="40" t="n"/>
      <c r="D62" s="40" t="inlineStr">
        <is>
          <t>M2</t>
        </is>
      </c>
      <c r="E62" s="40" t="n">
        <v>12</v>
      </c>
      <c r="F62" s="40">
        <f>C62*E62</f>
        <v/>
      </c>
      <c r="G62" s="40" t="n">
        <v>5</v>
      </c>
      <c r="H62" s="40">
        <f>C62*G62</f>
        <v/>
      </c>
      <c r="I62" s="41" t="inlineStr">
        <is>
          <t>广东帝豪装饰专用保护棉、辅料及人工</t>
        </is>
      </c>
      <c r="J62" s="33" t="n"/>
      <c r="K62" s="33" t="n"/>
      <c r="L62" s="33" t="n"/>
    </row>
    <row r="63" ht="16.5" customFormat="1" customHeight="1" s="7">
      <c r="A63" s="60" t="n"/>
      <c r="B63" s="61" t="inlineStr">
        <is>
          <t>小计</t>
        </is>
      </c>
      <c r="C63" s="60" t="n"/>
      <c r="D63" s="60" t="n"/>
      <c r="E63" s="60" t="n"/>
      <c r="F63" s="60">
        <f>SUM(F54:F62)</f>
        <v/>
      </c>
      <c r="G63" s="60" t="n"/>
      <c r="H63" s="60">
        <f>SUM(H54:H62)</f>
        <v/>
      </c>
      <c r="I63" s="62" t="n"/>
      <c r="J63" s="63" t="n"/>
      <c r="K63" s="63" t="n"/>
      <c r="L63" s="63" t="n"/>
    </row>
    <row r="64" ht="18" customHeight="1">
      <c r="A64" s="38" t="inlineStr">
        <is>
          <t>六</t>
        </is>
      </c>
      <c r="B64" s="39" t="inlineStr">
        <is>
          <t>次卧一</t>
        </is>
      </c>
      <c r="C64" s="40" t="n"/>
      <c r="D64" s="40" t="n"/>
      <c r="E64" s="40" t="n"/>
      <c r="F64" s="40" t="n"/>
      <c r="G64" s="40" t="n"/>
      <c r="H64" s="40" t="n"/>
      <c r="I64" s="41" t="n"/>
      <c r="J64" s="33" t="n"/>
      <c r="K64" s="33" t="n"/>
      <c r="L64" s="33" t="n"/>
    </row>
    <row r="65" ht="27" customFormat="1" customHeight="1" s="10">
      <c r="A65" s="49" t="n">
        <v>1</v>
      </c>
      <c r="B65" s="65" t="inlineStr">
        <is>
          <t>地面找平</t>
        </is>
      </c>
      <c r="C65" s="49" t="n"/>
      <c r="D65" s="49" t="inlineStr">
        <is>
          <t>M2</t>
        </is>
      </c>
      <c r="E65" s="49" t="n">
        <v>26</v>
      </c>
      <c r="F65" s="49">
        <f>C65*E65</f>
        <v/>
      </c>
      <c r="G65" s="49" t="n">
        <v>20</v>
      </c>
      <c r="H65" s="49">
        <f>C65*G65</f>
        <v/>
      </c>
      <c r="I65" s="50" t="inlineStr">
        <is>
          <t>1、原地面清理、强度325MPa普通硅酸盐水、中沙水泥沙浆抹平、原地面水平放线、凸筋处理。2、找平厚度如超过4CM按双面计算、人工及机具费</t>
        </is>
      </c>
      <c r="J65" s="77" t="n"/>
      <c r="K65" s="77" t="n"/>
      <c r="L65" s="77" t="n"/>
    </row>
    <row r="66" ht="15.75" customFormat="1" customHeight="1" s="10">
      <c r="A66" s="49" t="n">
        <v>2</v>
      </c>
      <c r="B66" s="43" t="inlineStr">
        <is>
          <t>飘窗大理石铺贴</t>
        </is>
      </c>
      <c r="C66" s="40" t="n"/>
      <c r="D66" s="40" t="inlineStr">
        <is>
          <t>M</t>
        </is>
      </c>
      <c r="E66" s="40" t="n">
        <v>65</v>
      </c>
      <c r="F66" s="40">
        <f>C66*E66</f>
        <v/>
      </c>
      <c r="G66" s="40" t="n">
        <v>85</v>
      </c>
      <c r="H66" s="40">
        <f>C66*G66</f>
        <v/>
      </c>
      <c r="I66" s="41" t="inlineStr">
        <is>
          <t>1、含水泥、沙等辅料。2、人工及机具费（大理石业主自购）</t>
        </is>
      </c>
      <c r="J66" s="33" t="n"/>
      <c r="K66" s="33" t="n"/>
      <c r="L66" s="33" t="n"/>
    </row>
    <row r="67" ht="16.5" customHeight="1">
      <c r="A67" s="49" t="n">
        <v>3</v>
      </c>
      <c r="B67" s="43" t="inlineStr">
        <is>
          <t>墙顶面基层加固</t>
        </is>
      </c>
      <c r="C67" s="40" t="n"/>
      <c r="D67" s="42" t="inlineStr">
        <is>
          <t>M2</t>
        </is>
      </c>
      <c r="E67" s="40" t="n">
        <v>2</v>
      </c>
      <c r="F67" s="40">
        <f>C67*E67</f>
        <v/>
      </c>
      <c r="G67" s="40" t="n">
        <v>4</v>
      </c>
      <c r="H67" s="40">
        <f>C67*G67</f>
        <v/>
      </c>
      <c r="I67" s="41" t="inlineStr">
        <is>
          <t>德高界面剂、人工及机具费。</t>
        </is>
      </c>
      <c r="J67" s="33" t="n"/>
      <c r="K67" s="33" t="n"/>
      <c r="L67" s="33" t="n"/>
    </row>
    <row r="68" ht="26.25" customHeight="1">
      <c r="A68" s="49" t="n">
        <v>4</v>
      </c>
      <c r="B68" s="43" t="inlineStr">
        <is>
          <t>墙面基层处理（鸟巢腻子）</t>
        </is>
      </c>
      <c r="C68" s="40" t="n"/>
      <c r="D68" s="40" t="inlineStr">
        <is>
          <t>M2</t>
        </is>
      </c>
      <c r="E68" s="40" t="n">
        <v>19</v>
      </c>
      <c r="F68" s="40">
        <f>C68*E68</f>
        <v/>
      </c>
      <c r="G68" s="40" t="n">
        <v>13</v>
      </c>
      <c r="H68" s="40">
        <f>C68*G68</f>
        <v/>
      </c>
      <c r="I68" s="41" t="inlineStr">
        <is>
          <t>鸟巢水性嵌缝石膏补顶缝、瑞安健康找平腻子底层、瑞安健康腻子面层、白布、砂纸、牛皮纸、人工及机具费。</t>
        </is>
      </c>
      <c r="J68" s="33" t="n"/>
      <c r="K68" s="33" t="n"/>
      <c r="L68" s="33" t="n"/>
    </row>
    <row r="69" ht="27" customHeight="1">
      <c r="A69" s="49" t="n">
        <v>5</v>
      </c>
      <c r="B69" s="43" t="inlineStr">
        <is>
          <t>芬琳芬华五合一内墙乳胶漆</t>
        </is>
      </c>
      <c r="C69" s="40" t="n"/>
      <c r="D69" s="40" t="inlineStr">
        <is>
          <t>M2</t>
        </is>
      </c>
      <c r="E69" s="40" t="n">
        <v>12</v>
      </c>
      <c r="F69" s="40">
        <f>C69*E69</f>
        <v/>
      </c>
      <c r="G69" s="40" t="n">
        <v>7</v>
      </c>
      <c r="H69" s="40">
        <f>C69*G69</f>
        <v/>
      </c>
      <c r="I69" s="41" t="inlineStr">
        <is>
          <t>1、底漆、面漆、人工及机具费。(有色漆每平米另加3元、若要求喷漆另加3元）</t>
        </is>
      </c>
      <c r="J69" s="33" t="n"/>
      <c r="K69" s="33" t="n"/>
      <c r="L69" s="33" t="n"/>
    </row>
    <row r="70" ht="18" customFormat="1" customHeight="1" s="7">
      <c r="A70" s="60" t="n"/>
      <c r="B70" s="61" t="inlineStr">
        <is>
          <t>小计</t>
        </is>
      </c>
      <c r="C70" s="60" t="n"/>
      <c r="D70" s="60" t="n"/>
      <c r="E70" s="60" t="n"/>
      <c r="F70" s="60">
        <f>SUM(F65:F69)</f>
        <v/>
      </c>
      <c r="G70" s="60" t="n"/>
      <c r="H70" s="60">
        <f>SUM(H65:H69)</f>
        <v/>
      </c>
      <c r="I70" s="62" t="n"/>
      <c r="J70" s="63" t="n"/>
      <c r="K70" s="63" t="n"/>
      <c r="L70" s="63" t="n"/>
    </row>
    <row r="71" ht="18" customHeight="1">
      <c r="A71" s="38" t="inlineStr">
        <is>
          <t>七</t>
        </is>
      </c>
      <c r="B71" s="39" t="inlineStr">
        <is>
          <t>次卧二</t>
        </is>
      </c>
      <c r="C71" s="40" t="n"/>
      <c r="D71" s="40" t="n"/>
      <c r="E71" s="40" t="n"/>
      <c r="F71" s="40" t="n"/>
      <c r="G71" s="40" t="n"/>
      <c r="H71" s="40" t="n"/>
      <c r="I71" s="41" t="n"/>
      <c r="J71" s="33" t="n"/>
      <c r="K71" s="33" t="n"/>
      <c r="L71" s="33" t="n"/>
    </row>
    <row r="72" ht="27" customFormat="1" customHeight="1" s="10">
      <c r="A72" s="49" t="n">
        <v>1</v>
      </c>
      <c r="B72" s="65" t="inlineStr">
        <is>
          <t>地面找平</t>
        </is>
      </c>
      <c r="C72" s="49" t="n"/>
      <c r="D72" s="49" t="inlineStr">
        <is>
          <t>M2</t>
        </is>
      </c>
      <c r="E72" s="49" t="n">
        <v>26</v>
      </c>
      <c r="F72" s="49">
        <f>C72*E72</f>
        <v/>
      </c>
      <c r="G72" s="49" t="n">
        <v>20</v>
      </c>
      <c r="H72" s="49">
        <f>C72*G72</f>
        <v/>
      </c>
      <c r="I72" s="50" t="inlineStr">
        <is>
          <t>1、原地面清理、强度325MPa普通硅酸盐水、中沙水泥沙浆抹平、原地面水平放线、凸筋处理。2、找平厚度如超过4CM按双面计算、人工及机具费</t>
        </is>
      </c>
      <c r="J72" s="77" t="n"/>
      <c r="K72" s="77" t="n"/>
      <c r="L72" s="77" t="n"/>
    </row>
    <row r="73" ht="16.5" customHeight="1">
      <c r="A73" s="49" t="n">
        <v>2</v>
      </c>
      <c r="B73" s="43" t="inlineStr">
        <is>
          <t>墙顶面基层加固</t>
        </is>
      </c>
      <c r="C73" s="40" t="n"/>
      <c r="D73" s="42" t="inlineStr">
        <is>
          <t>M2</t>
        </is>
      </c>
      <c r="E73" s="40" t="n">
        <v>2</v>
      </c>
      <c r="F73" s="40">
        <f>C73*E73</f>
        <v/>
      </c>
      <c r="G73" s="40" t="n">
        <v>4</v>
      </c>
      <c r="H73" s="40">
        <f>C73*G73</f>
        <v/>
      </c>
      <c r="I73" s="41" t="inlineStr">
        <is>
          <t>德高界面剂、人工及机具费。</t>
        </is>
      </c>
      <c r="J73" s="33" t="n"/>
      <c r="K73" s="33" t="n"/>
      <c r="L73" s="33" t="n"/>
    </row>
    <row r="74" ht="26.25" customHeight="1">
      <c r="A74" s="49" t="n">
        <v>3</v>
      </c>
      <c r="B74" s="43" t="inlineStr">
        <is>
          <t>墙面基层处理（鸟巢腻子）</t>
        </is>
      </c>
      <c r="C74" s="40" t="n"/>
      <c r="D74" s="40" t="inlineStr">
        <is>
          <t>M2</t>
        </is>
      </c>
      <c r="E74" s="40" t="n">
        <v>19</v>
      </c>
      <c r="F74" s="40">
        <f>C74*E74</f>
        <v/>
      </c>
      <c r="G74" s="40" t="n">
        <v>13</v>
      </c>
      <c r="H74" s="40">
        <f>C74*G74</f>
        <v/>
      </c>
      <c r="I74" s="41" t="inlineStr">
        <is>
          <t>鸟巢水性嵌缝石膏补顶缝、瑞安健康找平腻子底层、瑞安健康腻子面层、白布、砂纸、牛皮纸、人工及机具费。</t>
        </is>
      </c>
      <c r="J74" s="33" t="n"/>
      <c r="K74" s="33" t="n"/>
      <c r="L74" s="33" t="n"/>
    </row>
    <row r="75" ht="27" customHeight="1">
      <c r="A75" s="49" t="n">
        <v>4</v>
      </c>
      <c r="B75" s="43" t="inlineStr">
        <is>
          <t>芬琳芬华五合一内墙乳胶漆</t>
        </is>
      </c>
      <c r="C75" s="40" t="n"/>
      <c r="D75" s="40" t="inlineStr">
        <is>
          <t>M2</t>
        </is>
      </c>
      <c r="E75" s="40" t="n">
        <v>12</v>
      </c>
      <c r="F75" s="40">
        <f>C75*E75</f>
        <v/>
      </c>
      <c r="G75" s="40" t="n">
        <v>7</v>
      </c>
      <c r="H75" s="40">
        <f>C75*G75</f>
        <v/>
      </c>
      <c r="I75" s="41" t="inlineStr">
        <is>
          <t>1、底漆、面漆、人工及机具费。(有色漆每平米另加3元、若要求喷漆另加3元）</t>
        </is>
      </c>
      <c r="J75" s="33" t="n"/>
      <c r="K75" s="33" t="n"/>
      <c r="L75" s="33" t="n"/>
    </row>
    <row r="76" ht="18" customFormat="1" customHeight="1" s="7">
      <c r="A76" s="60" t="n"/>
      <c r="B76" s="61" t="inlineStr">
        <is>
          <t>小计</t>
        </is>
      </c>
      <c r="C76" s="60" t="n"/>
      <c r="D76" s="60" t="n"/>
      <c r="E76" s="60" t="n"/>
      <c r="F76" s="60">
        <f>SUM(F72:F75)</f>
        <v/>
      </c>
      <c r="G76" s="60" t="n"/>
      <c r="H76" s="60">
        <f>SUM(H72:H75)</f>
        <v/>
      </c>
      <c r="I76" s="62" t="n"/>
      <c r="J76" s="63" t="n"/>
      <c r="K76" s="63" t="n"/>
      <c r="L76" s="63" t="n"/>
    </row>
    <row r="77" ht="16.5" customHeight="1">
      <c r="A77" s="38" t="inlineStr">
        <is>
          <t>八</t>
        </is>
      </c>
      <c r="B77" s="39" t="inlineStr">
        <is>
          <t>综合</t>
        </is>
      </c>
      <c r="C77" s="40" t="n"/>
      <c r="D77" s="40" t="n"/>
      <c r="E77" s="40" t="n"/>
      <c r="F77" s="40" t="n"/>
      <c r="G77" s="40" t="n"/>
      <c r="H77" s="40" t="n"/>
      <c r="I77" s="41" t="n"/>
      <c r="J77" s="33" t="n"/>
      <c r="K77" s="33" t="n"/>
      <c r="L77" s="33" t="n"/>
    </row>
    <row r="78" ht="18" customHeight="1">
      <c r="A78" s="40" t="inlineStr">
        <is>
          <t>A</t>
        </is>
      </c>
      <c r="B78" s="64" t="inlineStr">
        <is>
          <t>电安装（部份改动）</t>
        </is>
      </c>
      <c r="C78" s="145" t="n"/>
      <c r="D78" s="145" t="n"/>
      <c r="E78" s="146" t="n"/>
      <c r="F78" s="40" t="n"/>
      <c r="G78" s="40" t="n"/>
      <c r="H78" s="40" t="n"/>
      <c r="I78" s="41" t="n"/>
      <c r="J78" s="33" t="n"/>
      <c r="K78" s="33" t="n"/>
      <c r="L78" s="33" t="n"/>
    </row>
    <row r="79" ht="16" customFormat="1" customHeight="1" s="6">
      <c r="A79" s="49" t="n">
        <v>1</v>
      </c>
      <c r="B79" s="65" t="inlineStr">
        <is>
          <t>开关插座布线</t>
        </is>
      </c>
      <c r="C79" s="49" t="n"/>
      <c r="D79" s="49" t="inlineStr">
        <is>
          <t>M</t>
        </is>
      </c>
      <c r="E79" s="49" t="n">
        <v>14</v>
      </c>
      <c r="F79" s="49">
        <f>C79*E79</f>
        <v/>
      </c>
      <c r="G79" s="49" t="n">
        <v>12</v>
      </c>
      <c r="H79" s="49">
        <f>C79*G79</f>
        <v/>
      </c>
      <c r="I79" s="50" t="inlineStr">
        <is>
          <t>1、伟星PVC-U斯派诺线管、线夹、锁头、防腊管、波纹管、2.5平方电线、辅料、人工及机具费。</t>
        </is>
      </c>
      <c r="J79" s="58" t="n"/>
      <c r="K79" s="58" t="n"/>
      <c r="L79" s="58" t="n"/>
    </row>
    <row r="80" ht="15" customFormat="1" customHeight="1" s="6">
      <c r="A80" s="49" t="n">
        <v>2</v>
      </c>
      <c r="B80" s="65" t="inlineStr">
        <is>
          <t>电话线</t>
        </is>
      </c>
      <c r="C80" s="49" t="n"/>
      <c r="D80" s="49" t="inlineStr">
        <is>
          <t>M</t>
        </is>
      </c>
      <c r="E80" s="49" t="n">
        <v>6</v>
      </c>
      <c r="F80" s="49">
        <f>C80*E80</f>
        <v/>
      </c>
      <c r="G80" s="49" t="n">
        <v>11</v>
      </c>
      <c r="H80" s="49">
        <f>C80*G80</f>
        <v/>
      </c>
      <c r="I80" s="50" t="inlineStr">
        <is>
          <t>1、4芯线、PVC管、辅料等。2、人工及机具费</t>
        </is>
      </c>
      <c r="J80" s="58" t="n"/>
      <c r="K80" s="58" t="n"/>
      <c r="L80" s="58" t="n"/>
    </row>
    <row r="81" ht="15" customFormat="1" customHeight="1" s="6">
      <c r="A81" s="49" t="n">
        <v>3</v>
      </c>
      <c r="B81" s="65" t="inlineStr">
        <is>
          <t>电视线</t>
        </is>
      </c>
      <c r="C81" s="49" t="n"/>
      <c r="D81" s="49" t="inlineStr">
        <is>
          <t>M</t>
        </is>
      </c>
      <c r="E81" s="49" t="n">
        <v>6</v>
      </c>
      <c r="F81" s="49">
        <f>C81*E81</f>
        <v/>
      </c>
      <c r="G81" s="49" t="n">
        <v>11</v>
      </c>
      <c r="H81" s="49">
        <f>C81*G81</f>
        <v/>
      </c>
      <c r="I81" s="50" t="inlineStr">
        <is>
          <t>1、单芯线、PVC管、辅料等。2、人工及机具费</t>
        </is>
      </c>
      <c r="J81" s="58" t="n"/>
      <c r="K81" s="58" t="n"/>
      <c r="L81" s="58" t="n"/>
    </row>
    <row r="82" ht="15" customFormat="1" customHeight="1" s="6">
      <c r="A82" s="49" t="n">
        <v>4</v>
      </c>
      <c r="B82" s="65" t="inlineStr">
        <is>
          <t>光纤线</t>
        </is>
      </c>
      <c r="C82" s="49" t="n"/>
      <c r="D82" s="49" t="inlineStr">
        <is>
          <t>M</t>
        </is>
      </c>
      <c r="E82" s="49" t="n">
        <v>6</v>
      </c>
      <c r="F82" s="49">
        <f>C82*E82</f>
        <v/>
      </c>
      <c r="G82" s="49" t="n">
        <v>11</v>
      </c>
      <c r="H82" s="49">
        <f>C82*G82</f>
        <v/>
      </c>
      <c r="I82" s="50" t="inlineStr">
        <is>
          <t>1、单芯线、PVC管、辅料等。2、人工及机具费</t>
        </is>
      </c>
      <c r="J82" s="58" t="n"/>
      <c r="K82" s="58" t="n"/>
      <c r="L82" s="58" t="n"/>
    </row>
    <row r="83" ht="15" customFormat="1" customHeight="1" s="6">
      <c r="A83" s="49" t="n">
        <v>5</v>
      </c>
      <c r="B83" s="65" t="inlineStr">
        <is>
          <t>网线</t>
        </is>
      </c>
      <c r="C83" s="49" t="n"/>
      <c r="D83" s="49" t="inlineStr">
        <is>
          <t>M</t>
        </is>
      </c>
      <c r="E83" s="49" t="n">
        <v>6</v>
      </c>
      <c r="F83" s="49">
        <f>C83*E83</f>
        <v/>
      </c>
      <c r="G83" s="49" t="n">
        <v>11</v>
      </c>
      <c r="H83" s="49">
        <f>C83*G83</f>
        <v/>
      </c>
      <c r="I83" s="50" t="inlineStr">
        <is>
          <t>1、单芯线、PVC管、辅料等。2、人工及机具费</t>
        </is>
      </c>
      <c r="J83" s="58" t="n"/>
      <c r="K83" s="58" t="n"/>
      <c r="L83" s="58" t="n"/>
    </row>
    <row r="84" ht="15" customHeight="1">
      <c r="A84" s="40" t="n">
        <v>6</v>
      </c>
      <c r="B84" s="43" t="inlineStr">
        <is>
          <t>音响线</t>
        </is>
      </c>
      <c r="C84" s="40" t="n"/>
      <c r="D84" s="40" t="inlineStr">
        <is>
          <t>M</t>
        </is>
      </c>
      <c r="E84" s="40" t="n">
        <v>10</v>
      </c>
      <c r="F84" s="40">
        <f>C84*E84</f>
        <v/>
      </c>
      <c r="G84" s="40" t="n">
        <v>6</v>
      </c>
      <c r="H84" s="40">
        <f>C84*G84</f>
        <v/>
      </c>
      <c r="I84" s="41" t="inlineStr">
        <is>
          <t>1、多芯线、PVC管、辅料等。2、人工及机具费</t>
        </is>
      </c>
      <c r="J84" s="33" t="n"/>
      <c r="K84" s="33" t="n"/>
      <c r="L84" s="33" t="n"/>
    </row>
    <row r="85" ht="15" customHeight="1">
      <c r="A85" s="40" t="n">
        <v>7</v>
      </c>
      <c r="B85" s="43" t="inlineStr">
        <is>
          <t>液晶电视引线管</t>
        </is>
      </c>
      <c r="C85" s="40" t="n"/>
      <c r="D85" s="40" t="inlineStr">
        <is>
          <t>项</t>
        </is>
      </c>
      <c r="E85" s="40" t="n">
        <v>75</v>
      </c>
      <c r="F85" s="40">
        <f>C85*E85</f>
        <v/>
      </c>
      <c r="G85" s="40" t="n">
        <v>45</v>
      </c>
      <c r="H85" s="44">
        <f>C85*G85</f>
        <v/>
      </c>
      <c r="I85" s="41" t="inlineStr">
        <is>
          <t>1、59mmPVC管，预藏电视墙内，便于插座线及电视线穿插</t>
        </is>
      </c>
      <c r="J85" s="33" t="n"/>
      <c r="K85" s="33" t="n"/>
      <c r="L85" s="33" t="n"/>
    </row>
    <row r="86" ht="15" customHeight="1">
      <c r="A86" s="40" t="n">
        <v>8</v>
      </c>
      <c r="B86" s="43" t="inlineStr">
        <is>
          <t>底盒、面板安装</t>
        </is>
      </c>
      <c r="C86" s="40" t="n"/>
      <c r="D86" s="40" t="inlineStr">
        <is>
          <t>个</t>
        </is>
      </c>
      <c r="E86" s="40" t="n">
        <v>2</v>
      </c>
      <c r="F86" s="40">
        <f>C86*E86</f>
        <v/>
      </c>
      <c r="G86" s="40" t="n">
        <v>4</v>
      </c>
      <c r="H86" s="40">
        <f>C86*G86</f>
        <v/>
      </c>
      <c r="I86" s="41" t="inlineStr">
        <is>
          <t>1、底盒、按工地实际发生的数量计算</t>
        </is>
      </c>
      <c r="J86" s="33" t="n"/>
      <c r="K86" s="33" t="n"/>
      <c r="L86" s="33" t="n"/>
    </row>
    <row r="87" ht="22.5" customFormat="1" customHeight="1" s="6">
      <c r="A87" s="49" t="n">
        <v>9</v>
      </c>
      <c r="B87" s="65" t="inlineStr">
        <is>
          <t>专线(4MM2)</t>
        </is>
      </c>
      <c r="C87" s="49" t="n"/>
      <c r="D87" s="49" t="inlineStr">
        <is>
          <t>M</t>
        </is>
      </c>
      <c r="E87" s="49" t="n">
        <v>18</v>
      </c>
      <c r="F87" s="49">
        <f>C87*E87</f>
        <v/>
      </c>
      <c r="G87" s="49" t="n">
        <v>13</v>
      </c>
      <c r="H87" s="49">
        <f>C87*G87</f>
        <v/>
      </c>
      <c r="I87" s="81" t="inlineStr">
        <is>
          <t>1、客厅、卧室空调及厨房动力线为4平方毫米铜芯导线。2、接地线为2.5平方毫米铜芯导线。3、PVC管、弯头、直通。4、人工机具费</t>
        </is>
      </c>
      <c r="J87" s="58" t="n"/>
      <c r="K87" s="58" t="n"/>
      <c r="L87" s="58" t="n"/>
    </row>
    <row r="88" ht="22.5" customFormat="1" customHeight="1" s="6">
      <c r="A88" s="49" t="n">
        <v>10</v>
      </c>
      <c r="B88" s="65" t="inlineStr">
        <is>
          <t>专线(6MM2)</t>
        </is>
      </c>
      <c r="C88" s="49" t="n"/>
      <c r="D88" s="49" t="inlineStr">
        <is>
          <t>M</t>
        </is>
      </c>
      <c r="E88" s="49" t="n">
        <v>25</v>
      </c>
      <c r="F88" s="49">
        <f>C88*E88</f>
        <v/>
      </c>
      <c r="G88" s="49" t="n">
        <v>15</v>
      </c>
      <c r="H88" s="82">
        <f>C88*G88</f>
        <v/>
      </c>
      <c r="I88" s="81" t="inlineStr">
        <is>
          <t>1、客厅、卧室空调及厨房动力线为6平方毫米铜芯导线。2、接地线为2.5平方毫米铜芯导线。3、PVC管、弯头、直通。4、人工机具费</t>
        </is>
      </c>
      <c r="J88" s="58" t="n"/>
      <c r="K88" s="58" t="n"/>
      <c r="L88" s="58" t="n"/>
    </row>
    <row r="89" ht="22.5" customFormat="1" customHeight="1" s="6">
      <c r="A89" s="49" t="n">
        <v>11</v>
      </c>
      <c r="B89" s="65" t="inlineStr">
        <is>
          <t>专线(10MM2)</t>
        </is>
      </c>
      <c r="C89" s="49" t="n"/>
      <c r="D89" s="49" t="inlineStr">
        <is>
          <t>M</t>
        </is>
      </c>
      <c r="E89" s="49" t="n">
        <v>55</v>
      </c>
      <c r="F89" s="49">
        <f>C89*E89</f>
        <v/>
      </c>
      <c r="G89" s="49" t="n">
        <v>20</v>
      </c>
      <c r="H89" s="82">
        <f>C89*G89</f>
        <v/>
      </c>
      <c r="I89" s="81" t="inlineStr">
        <is>
          <t>1、客厅、卧室空调及厨房动力线为10平方毫米铜芯导线。2、接地线为2.5平方毫米铜芯导线。3、PVC管、弯头、直通。4、人工机具费</t>
        </is>
      </c>
      <c r="J89" s="58" t="n"/>
      <c r="K89" s="58" t="n"/>
      <c r="L89" s="58" t="n"/>
    </row>
    <row r="90" ht="15.75" customHeight="1">
      <c r="A90" s="40" t="n">
        <v>12</v>
      </c>
      <c r="B90" s="43" t="inlineStr">
        <is>
          <t>强电箱安装</t>
        </is>
      </c>
      <c r="C90" s="40" t="n"/>
      <c r="D90" s="40" t="inlineStr">
        <is>
          <t>项</t>
        </is>
      </c>
      <c r="E90" s="40" t="n">
        <v>150</v>
      </c>
      <c r="F90" s="40">
        <f>C90*E90</f>
        <v/>
      </c>
      <c r="G90" s="40" t="n">
        <v>180</v>
      </c>
      <c r="H90" s="40">
        <f>C90*G90</f>
        <v/>
      </c>
      <c r="I90" s="41" t="inlineStr">
        <is>
          <t>1、水泥、沙、等辅料及人工安装费(含电箱)。2、配件业主自购。</t>
        </is>
      </c>
      <c r="J90" s="33" t="n"/>
      <c r="K90" s="33" t="n"/>
      <c r="L90" s="33" t="n"/>
    </row>
    <row r="91" ht="15.75" customHeight="1">
      <c r="A91" s="40" t="n">
        <v>13</v>
      </c>
      <c r="B91" s="43" t="inlineStr">
        <is>
          <t>弱电箱安装</t>
        </is>
      </c>
      <c r="C91" s="40" t="n"/>
      <c r="D91" s="40" t="inlineStr">
        <is>
          <t>项</t>
        </is>
      </c>
      <c r="E91" s="40" t="n">
        <v>240</v>
      </c>
      <c r="F91" s="40">
        <f>C91*E91</f>
        <v/>
      </c>
      <c r="G91" s="40" t="n">
        <v>160</v>
      </c>
      <c r="H91" s="40">
        <f>C91*G91</f>
        <v/>
      </c>
      <c r="I91" s="41" t="inlineStr">
        <is>
          <t>1、水泥、沙、等辅料及人工安装费(含电箱)。2、配件业主自购。</t>
        </is>
      </c>
      <c r="J91" s="33" t="n"/>
      <c r="K91" s="33" t="n"/>
      <c r="L91" s="33" t="n"/>
    </row>
    <row r="92" ht="22.5" customHeight="1">
      <c r="A92" s="40" t="n">
        <v>14</v>
      </c>
      <c r="B92" s="43" t="inlineStr">
        <is>
          <t>灯具安装</t>
        </is>
      </c>
      <c r="C92" s="40" t="n"/>
      <c r="D92" s="40" t="inlineStr">
        <is>
          <t>项</t>
        </is>
      </c>
      <c r="E92" s="40" t="n">
        <v>120</v>
      </c>
      <c r="F92" s="40">
        <f>C92*E92</f>
        <v/>
      </c>
      <c r="G92" s="40" t="n">
        <v>380</v>
      </c>
      <c r="H92" s="40">
        <f>C92*G92</f>
        <v/>
      </c>
      <c r="I92" s="41" t="inlineStr">
        <is>
          <t>1、膨胀螺丝、电胶布等辅料及人工安装。2、三房两厅以内。3、四房两厅另加40元（复式或别墅另加160元、不含主灯）</t>
        </is>
      </c>
      <c r="J92" s="33" t="n"/>
      <c r="K92" s="33" t="n"/>
      <c r="L92" s="33" t="n"/>
    </row>
    <row r="93" ht="16.5" customFormat="1" customHeight="1" s="11">
      <c r="A93" s="40" t="n">
        <v>15</v>
      </c>
      <c r="B93" s="66" t="inlineStr">
        <is>
          <t>布线开槽</t>
        </is>
      </c>
      <c r="C93" s="83" t="n"/>
      <c r="D93" s="40" t="inlineStr">
        <is>
          <t>M2</t>
        </is>
      </c>
      <c r="E93" s="83" t="n"/>
      <c r="F93" s="40">
        <f>C93*E93</f>
        <v/>
      </c>
      <c r="G93" s="40" t="n">
        <v>5</v>
      </c>
      <c r="H93" s="44">
        <f>C93*G93</f>
        <v/>
      </c>
      <c r="I93" s="84" t="inlineStr">
        <is>
          <t>切槽、人工及机具费 。</t>
        </is>
      </c>
      <c r="J93" s="33" t="n"/>
      <c r="K93" s="85" t="n"/>
      <c r="L93" s="85" t="n"/>
    </row>
    <row r="94" ht="16.5" customFormat="1" customHeight="1" s="7">
      <c r="A94" s="60" t="n"/>
      <c r="B94" s="61" t="inlineStr">
        <is>
          <t>小计</t>
        </is>
      </c>
      <c r="C94" s="60" t="n"/>
      <c r="D94" s="60" t="n"/>
      <c r="E94" s="60" t="n"/>
      <c r="F94" s="60">
        <f>SUM(F79:F93)</f>
        <v/>
      </c>
      <c r="G94" s="60" t="n"/>
      <c r="H94" s="60">
        <f>SUM(H79:H93)</f>
        <v/>
      </c>
      <c r="I94" s="62" t="n"/>
      <c r="J94" s="63" t="n"/>
      <c r="K94" s="63" t="n"/>
      <c r="L94" s="63" t="n"/>
    </row>
    <row r="95" ht="16.5" customHeight="1">
      <c r="A95" s="40" t="inlineStr">
        <is>
          <t>B</t>
        </is>
      </c>
      <c r="B95" s="39" t="inlineStr">
        <is>
          <t>水安装（部份改动）</t>
        </is>
      </c>
      <c r="C95" s="145" t="n"/>
      <c r="D95" s="145" t="n"/>
      <c r="E95" s="146" t="n"/>
      <c r="F95" s="40" t="n"/>
      <c r="G95" s="40" t="n"/>
      <c r="H95" s="40" t="n"/>
      <c r="I95" s="41" t="n"/>
      <c r="J95" s="33" t="n"/>
      <c r="K95" s="33" t="n"/>
      <c r="L95" s="33" t="n"/>
    </row>
    <row r="96" ht="24.75" customFormat="1" customHeight="1" s="6">
      <c r="A96" s="49" t="n">
        <v>1</v>
      </c>
      <c r="B96" s="65" t="inlineStr">
        <is>
          <t>冷、热给水管（布管）</t>
        </is>
      </c>
      <c r="C96" s="49" t="n"/>
      <c r="D96" s="49" t="inlineStr">
        <is>
          <t>M</t>
        </is>
      </c>
      <c r="E96" s="49" t="n">
        <v>36</v>
      </c>
      <c r="F96" s="49">
        <f>C96*E96</f>
        <v/>
      </c>
      <c r="G96" s="49" t="n">
        <v>33</v>
      </c>
      <c r="H96" s="49">
        <f>C96*G96</f>
        <v/>
      </c>
      <c r="I96" s="50" t="inlineStr">
        <is>
          <t>1、定位、伟星福管PPR管、安装水管、试压（辅料，人工及机具费.注：此项工程结算可能与报价相差较大．（不含水龙头及阀门）</t>
        </is>
      </c>
      <c r="J96" s="58" t="n"/>
      <c r="K96" s="58" t="n"/>
      <c r="L96" s="58" t="n"/>
    </row>
    <row r="97" ht="26.5" customHeight="1">
      <c r="A97" s="40" t="n">
        <v>2</v>
      </c>
      <c r="B97" s="43" t="inlineStr">
        <is>
          <t>排水管安装</t>
        </is>
      </c>
      <c r="C97" s="40" t="n"/>
      <c r="D97" s="40" t="inlineStr">
        <is>
          <t>M</t>
        </is>
      </c>
      <c r="E97" s="40" t="n">
        <v>38</v>
      </c>
      <c r="F97" s="40">
        <f>C97*E97</f>
        <v/>
      </c>
      <c r="G97" s="40" t="n">
        <v>40</v>
      </c>
      <c r="H97" s="40">
        <f>C97*G97</f>
        <v/>
      </c>
      <c r="I97" s="41" t="inlineStr">
        <is>
          <t>1、定位、固定、试水、封管、弯头、伟星牌PVC-U（青韵）下水管，人工及机具费。2、按实际发生工程量计算</t>
        </is>
      </c>
      <c r="J97" s="33" t="n"/>
      <c r="K97" s="33" t="n"/>
      <c r="L97" s="33" t="n"/>
    </row>
    <row r="98" ht="24.5" customHeight="1">
      <c r="A98" s="40" t="n">
        <v>3</v>
      </c>
      <c r="B98" s="43" t="inlineStr">
        <is>
          <t>排污管安装</t>
        </is>
      </c>
      <c r="C98" s="40" t="n"/>
      <c r="D98" s="40" t="inlineStr">
        <is>
          <t>M</t>
        </is>
      </c>
      <c r="E98" s="40" t="n">
        <v>48</v>
      </c>
      <c r="F98" s="40">
        <f>C98*E98</f>
        <v/>
      </c>
      <c r="G98" s="40" t="n">
        <v>70</v>
      </c>
      <c r="H98" s="40">
        <f>C98*G98</f>
        <v/>
      </c>
      <c r="I98" s="41" t="inlineStr">
        <is>
          <t>1、定位、固定、试水、封管、弯头、伟星牌PVC-U（青韵）下水管，人工及机具费。2、按实际发生工程量计算</t>
        </is>
      </c>
      <c r="J98" s="33" t="n"/>
      <c r="K98" s="33" t="n"/>
      <c r="L98" s="33" t="n"/>
    </row>
    <row r="99" ht="15" customHeight="1">
      <c r="A99" s="40" t="n">
        <v>4</v>
      </c>
      <c r="B99" s="43" t="inlineStr">
        <is>
          <t>空调下水管安装</t>
        </is>
      </c>
      <c r="C99" s="40" t="n"/>
      <c r="D99" s="40" t="inlineStr">
        <is>
          <t>M</t>
        </is>
      </c>
      <c r="E99" s="40" t="n">
        <v>20</v>
      </c>
      <c r="F99" s="40">
        <f>C99*E99</f>
        <v/>
      </c>
      <c r="G99" s="40" t="n">
        <v>15</v>
      </c>
      <c r="H99" s="40">
        <f>C99*G99</f>
        <v/>
      </c>
      <c r="I99" s="41" t="inlineStr">
        <is>
          <t>PVC水管、按实际发生工程量计算</t>
        </is>
      </c>
      <c r="J99" s="33" t="n"/>
      <c r="K99" s="33" t="n"/>
      <c r="L99" s="33" t="n"/>
    </row>
    <row r="100" ht="15" customHeight="1">
      <c r="A100" s="40" t="n">
        <v>5</v>
      </c>
      <c r="B100" s="43" t="inlineStr">
        <is>
          <t>总水阀安装</t>
        </is>
      </c>
      <c r="C100" s="40" t="n"/>
      <c r="D100" s="40" t="inlineStr">
        <is>
          <t>个</t>
        </is>
      </c>
      <c r="E100" s="40" t="n">
        <v>135</v>
      </c>
      <c r="F100" s="40">
        <f>C100*E100</f>
        <v/>
      </c>
      <c r="G100" s="40" t="n">
        <v>35</v>
      </c>
      <c r="H100" s="40">
        <f>C100*G100</f>
        <v/>
      </c>
      <c r="I100" s="41" t="inlineStr">
        <is>
          <t>总水阀及配件、人工及机具费。</t>
        </is>
      </c>
      <c r="J100" s="33" t="n"/>
      <c r="K100" s="33" t="n"/>
      <c r="L100" s="33" t="n"/>
    </row>
    <row r="101" ht="17.15" customFormat="1" customHeight="1" s="7">
      <c r="A101" s="60" t="n"/>
      <c r="B101" s="61" t="inlineStr">
        <is>
          <t>小计</t>
        </is>
      </c>
      <c r="C101" s="60" t="n"/>
      <c r="D101" s="60" t="n"/>
      <c r="E101" s="60" t="n"/>
      <c r="F101" s="60">
        <f>SUM(F96:F100)</f>
        <v/>
      </c>
      <c r="G101" s="60" t="n"/>
      <c r="H101" s="60">
        <f>SUM(H96:H100)</f>
        <v/>
      </c>
      <c r="I101" s="62" t="n"/>
      <c r="J101" s="63" t="n"/>
      <c r="K101" s="63" t="n"/>
      <c r="L101" s="63" t="n"/>
    </row>
    <row r="102" ht="17.15" customHeight="1">
      <c r="A102" s="86" t="inlineStr">
        <is>
          <t>九</t>
        </is>
      </c>
      <c r="B102" s="39" t="inlineStr">
        <is>
          <t>其它</t>
        </is>
      </c>
      <c r="C102" s="40" t="n"/>
      <c r="D102" s="40" t="n"/>
      <c r="E102" s="40" t="n"/>
      <c r="F102" s="40" t="n"/>
      <c r="G102" s="40" t="n"/>
      <c r="H102" s="40" t="n"/>
      <c r="I102" s="41" t="n"/>
      <c r="J102" s="33" t="n"/>
      <c r="K102" s="33" t="n"/>
      <c r="L102" s="33" t="n"/>
    </row>
    <row r="103" ht="14.25" customHeight="1">
      <c r="A103" s="40" t="n">
        <v>1</v>
      </c>
      <c r="B103" s="43" t="inlineStr">
        <is>
          <t>门槛大理石铺贴</t>
        </is>
      </c>
      <c r="C103" s="40" t="n"/>
      <c r="D103" s="40" t="inlineStr">
        <is>
          <t>M</t>
        </is>
      </c>
      <c r="E103" s="40" t="n">
        <v>22</v>
      </c>
      <c r="F103" s="40">
        <f>C103*E103</f>
        <v/>
      </c>
      <c r="G103" s="40" t="n">
        <v>25</v>
      </c>
      <c r="H103" s="40">
        <f>C103*G103</f>
        <v/>
      </c>
      <c r="I103" s="41" t="inlineStr">
        <is>
          <t>1、水泥、沙、直线镶贴、弧型线另加20%。2、人工及机具费（大理石业主自购）</t>
        </is>
      </c>
      <c r="J103" s="33" t="n"/>
      <c r="K103" s="33" t="n"/>
      <c r="L103" s="33" t="n"/>
    </row>
    <row r="104" ht="14.25" customFormat="1" customHeight="1" s="12">
      <c r="A104" s="40" t="n">
        <v>2</v>
      </c>
      <c r="B104" s="87" t="inlineStr">
        <is>
          <t>沉箱架空处理</t>
        </is>
      </c>
      <c r="C104" s="40" t="n"/>
      <c r="D104" s="40" t="inlineStr">
        <is>
          <t>M2</t>
        </is>
      </c>
      <c r="E104" s="88" t="n">
        <v>160</v>
      </c>
      <c r="F104" s="40">
        <f>C104*E104</f>
        <v/>
      </c>
      <c r="G104" s="88" t="n">
        <v>125</v>
      </c>
      <c r="H104" s="40">
        <f>C104*G104</f>
        <v/>
      </c>
      <c r="I104" s="89" t="inlineStr">
        <is>
          <t>水泥瓷砖预制板及人工架空处理、人工及机具费(瓷砖业主自购)</t>
        </is>
      </c>
      <c r="J104" s="90" t="n"/>
      <c r="K104" s="90" t="n"/>
      <c r="L104" s="90" t="n"/>
    </row>
    <row r="105" ht="14.25" customHeight="1">
      <c r="A105" s="40" t="n">
        <v>3</v>
      </c>
      <c r="B105" s="43" t="inlineStr">
        <is>
          <t>沉箱回填</t>
        </is>
      </c>
      <c r="C105" s="40" t="n"/>
      <c r="D105" s="40" t="inlineStr">
        <is>
          <t>M2</t>
        </is>
      </c>
      <c r="E105" s="40" t="n">
        <v>95</v>
      </c>
      <c r="F105" s="40">
        <f>C105*E105</f>
        <v/>
      </c>
      <c r="G105" s="40" t="n">
        <v>75</v>
      </c>
      <c r="H105" s="40">
        <f>C105*G105</f>
        <v/>
      </c>
      <c r="I105" s="41" t="inlineStr">
        <is>
          <t>1、沉箱清理。2、二次排水处理.3、水泥、沙、碎砖填平。4、人工及机具费</t>
        </is>
      </c>
      <c r="J105" s="33" t="n"/>
      <c r="K105" s="33" t="n"/>
      <c r="L105" s="33" t="n"/>
    </row>
    <row r="106" ht="14.25" customHeight="1">
      <c r="A106" s="40" t="n">
        <v>4</v>
      </c>
      <c r="B106" s="43" t="inlineStr">
        <is>
          <t>包单排水管</t>
        </is>
      </c>
      <c r="C106" s="40" t="n"/>
      <c r="D106" s="40" t="inlineStr">
        <is>
          <t>条</t>
        </is>
      </c>
      <c r="E106" s="40" t="n">
        <v>120</v>
      </c>
      <c r="F106" s="40">
        <f>C106*E106</f>
        <v/>
      </c>
      <c r="G106" s="40" t="n">
        <v>90</v>
      </c>
      <c r="H106" s="40">
        <f>C106*G106</f>
        <v/>
      </c>
      <c r="I106" s="41" t="inlineStr">
        <is>
          <t>水泥、沙、砖。人工及机具费。（贴瓷片另计、如需做隔音处理另加50元／条）</t>
        </is>
      </c>
      <c r="J106" s="33" t="n"/>
      <c r="K106" s="33" t="n"/>
      <c r="L106" s="33" t="n"/>
    </row>
    <row r="107" ht="14.25" customHeight="1">
      <c r="A107" s="40" t="n">
        <v>5</v>
      </c>
      <c r="B107" s="43" t="inlineStr">
        <is>
          <t>包双排水管</t>
        </is>
      </c>
      <c r="C107" s="40" t="n"/>
      <c r="D107" s="40" t="inlineStr">
        <is>
          <t>条</t>
        </is>
      </c>
      <c r="E107" s="40" t="n">
        <v>150</v>
      </c>
      <c r="F107" s="40">
        <f>C107*E107</f>
        <v/>
      </c>
      <c r="G107" s="40" t="n">
        <v>100</v>
      </c>
      <c r="H107" s="40">
        <f>C107*G107</f>
        <v/>
      </c>
      <c r="I107" s="41" t="inlineStr">
        <is>
          <t>水泥、沙、砖。人工及机具费。（贴瓷片另计、如需做隔音处理另加50元／条）</t>
        </is>
      </c>
      <c r="J107" s="33" t="n"/>
      <c r="K107" s="33" t="n"/>
      <c r="L107" s="33" t="n"/>
    </row>
    <row r="108" ht="14.25" customHeight="1">
      <c r="A108" s="40" t="n">
        <v>6</v>
      </c>
      <c r="B108" s="43" t="inlineStr">
        <is>
          <t>室内高空作业费</t>
        </is>
      </c>
      <c r="C108" s="40" t="n"/>
      <c r="D108" s="40" t="inlineStr">
        <is>
          <t>项</t>
        </is>
      </c>
      <c r="E108" s="40" t="n">
        <v>120</v>
      </c>
      <c r="F108" s="40">
        <f>C108*E108</f>
        <v/>
      </c>
      <c r="G108" s="40" t="n">
        <v>320</v>
      </c>
      <c r="H108" s="40">
        <f>C108*G108</f>
        <v/>
      </c>
      <c r="I108" s="41" t="inlineStr">
        <is>
          <t>复式或者别墅另加700元/套</t>
        </is>
      </c>
      <c r="J108" s="33" t="n"/>
      <c r="K108" s="33" t="n"/>
      <c r="L108" s="33" t="n"/>
    </row>
    <row r="109" ht="14.25" customHeight="1">
      <c r="A109" s="40" t="n">
        <v>7</v>
      </c>
      <c r="B109" s="43" t="inlineStr">
        <is>
          <t>地漏安装</t>
        </is>
      </c>
      <c r="C109" s="40" t="n"/>
      <c r="D109" s="40" t="inlineStr">
        <is>
          <t>项</t>
        </is>
      </c>
      <c r="E109" s="40" t="n">
        <v>10</v>
      </c>
      <c r="F109" s="40">
        <f>C109*E109</f>
        <v/>
      </c>
      <c r="G109" s="40" t="n">
        <v>15</v>
      </c>
      <c r="H109" s="40">
        <f>C109*G109</f>
        <v/>
      </c>
      <c r="I109" s="91" t="inlineStr">
        <is>
          <t>水泥、沙、等辅料及人工安装费（地漏四周走边）。</t>
        </is>
      </c>
      <c r="J109" s="33" t="n"/>
      <c r="K109" s="33" t="n"/>
      <c r="L109" s="33" t="n"/>
    </row>
    <row r="110" ht="14.25" customFormat="1" customHeight="1" s="13">
      <c r="A110" s="40" t="n">
        <v>8</v>
      </c>
      <c r="B110" s="66" t="inlineStr">
        <is>
          <t>墙面修补</t>
        </is>
      </c>
      <c r="C110" s="40" t="n"/>
      <c r="D110" s="40" t="inlineStr">
        <is>
          <t>项</t>
        </is>
      </c>
      <c r="E110" s="83" t="n">
        <v>280</v>
      </c>
      <c r="F110" s="40">
        <f>C110*E110</f>
        <v/>
      </c>
      <c r="G110" s="40" t="n">
        <v>380</v>
      </c>
      <c r="H110" s="40">
        <f>C110*G110</f>
        <v/>
      </c>
      <c r="I110" s="92" t="inlineStr">
        <is>
          <t>1、门洞、边角及后期墙面损坏修补（包人工，水泥，沙）</t>
        </is>
      </c>
      <c r="J110" s="93" t="n"/>
      <c r="K110" s="93" t="n"/>
      <c r="L110" s="93" t="n"/>
    </row>
    <row r="111" ht="14.25" customFormat="1" customHeight="1" s="13">
      <c r="A111" s="40" t="n">
        <v>9</v>
      </c>
      <c r="B111" s="66" t="inlineStr">
        <is>
          <t>新建门洞(90CM内)</t>
        </is>
      </c>
      <c r="C111" s="40" t="n"/>
      <c r="D111" s="40" t="inlineStr">
        <is>
          <t>项</t>
        </is>
      </c>
      <c r="E111" s="83" t="n">
        <v>105</v>
      </c>
      <c r="F111" s="40">
        <f>C111*E111</f>
        <v/>
      </c>
      <c r="G111" s="40" t="n">
        <v>70</v>
      </c>
      <c r="H111" s="40">
        <f>C111*G111</f>
        <v/>
      </c>
      <c r="I111" s="92" t="inlineStr">
        <is>
          <t>1、钢筋、悬空处理、水泥、沙等辅料。2、人工及机具费</t>
        </is>
      </c>
      <c r="J111" s="93" t="n"/>
      <c r="K111" s="93" t="n"/>
      <c r="L111" s="93" t="n"/>
    </row>
    <row r="112" ht="14.25" customHeight="1">
      <c r="A112" s="40" t="n">
        <v>10</v>
      </c>
      <c r="B112" s="94" t="inlineStr">
        <is>
          <t>现浇楼板</t>
        </is>
      </c>
      <c r="C112" s="40" t="n"/>
      <c r="D112" s="42" t="inlineStr">
        <is>
          <t>M2</t>
        </is>
      </c>
      <c r="E112" s="95" t="n">
        <v>340</v>
      </c>
      <c r="F112" s="40">
        <f>C112*E112</f>
        <v/>
      </c>
      <c r="G112" s="42" t="n">
        <v>380</v>
      </c>
      <c r="H112" s="40">
        <f>C112*G112</f>
        <v/>
      </c>
      <c r="I112" s="96" t="inlineStr">
        <is>
          <t>1、10MM螺纹钢主筋，6MM螺纹钢辅筋扎网，12MM模板支架，32.5#水泥现浇。2、人工及机具费。</t>
        </is>
      </c>
    </row>
    <row r="113" ht="15" customFormat="1" customHeight="1" s="14">
      <c r="A113" s="40" t="n">
        <v>11</v>
      </c>
      <c r="B113" s="97" t="inlineStr">
        <is>
          <t>中央空调风口加固</t>
        </is>
      </c>
      <c r="C113" s="49" t="n"/>
      <c r="D113" s="49" t="inlineStr">
        <is>
          <t>项</t>
        </is>
      </c>
      <c r="E113" s="82" t="n">
        <v>25</v>
      </c>
      <c r="F113" s="40">
        <f>C113*E113</f>
        <v/>
      </c>
      <c r="G113" s="82" t="n">
        <v>45</v>
      </c>
      <c r="H113" s="40">
        <f>C113*G113</f>
        <v/>
      </c>
      <c r="I113" s="57" t="inlineStr">
        <is>
          <t>中央空调出风口及入风口加固</t>
        </is>
      </c>
      <c r="J113" s="58" t="n"/>
      <c r="K113" s="58" t="n"/>
      <c r="L113" s="58" t="n"/>
    </row>
    <row r="114" ht="14.25" customHeight="1">
      <c r="A114" s="40" t="n">
        <v>12</v>
      </c>
      <c r="B114" s="43" t="inlineStr">
        <is>
          <t>墙体拆除</t>
        </is>
      </c>
      <c r="C114" s="40" t="n"/>
      <c r="D114" s="40" t="inlineStr">
        <is>
          <t>M2</t>
        </is>
      </c>
      <c r="E114" s="40" t="n">
        <v>0</v>
      </c>
      <c r="F114" s="40">
        <f>C114*E114</f>
        <v/>
      </c>
      <c r="G114" s="40" t="n">
        <v>75</v>
      </c>
      <c r="H114" s="40">
        <f>C114*G114</f>
        <v/>
      </c>
      <c r="I114" s="41" t="inlineStr">
        <is>
          <t>1、32CM以上墙体或是混凝土墙另计</t>
        </is>
      </c>
      <c r="J114" s="33" t="n"/>
      <c r="K114" s="33" t="n"/>
      <c r="L114" s="33" t="n"/>
    </row>
    <row r="115" ht="15.75" customFormat="1" customHeight="1" s="12">
      <c r="A115" s="40" t="n">
        <v>13</v>
      </c>
      <c r="B115" s="98" t="inlineStr">
        <is>
          <t>阳台大理石挡水边</t>
        </is>
      </c>
      <c r="C115" s="40" t="n"/>
      <c r="D115" s="99" t="inlineStr">
        <is>
          <t>M</t>
        </is>
      </c>
      <c r="E115" s="100" t="n">
        <v>25</v>
      </c>
      <c r="F115" s="40">
        <f>C115*E115</f>
        <v/>
      </c>
      <c r="G115" s="100" t="n">
        <v>48</v>
      </c>
      <c r="H115" s="40">
        <f>C115*G115</f>
        <v/>
      </c>
      <c r="I115" s="101" t="inlineStr">
        <is>
          <t>１、含水泥、沙、白水泥等辅料。2、人工及机具费（大理石业主自购）。</t>
        </is>
      </c>
    </row>
    <row r="116" ht="14.15" customFormat="1" customHeight="1" s="8">
      <c r="A116" s="40" t="n">
        <v>14</v>
      </c>
      <c r="B116" s="98" t="inlineStr">
        <is>
          <t>淋浴基石安装</t>
        </is>
      </c>
      <c r="C116" s="99" t="n"/>
      <c r="D116" s="99" t="inlineStr">
        <is>
          <t>M</t>
        </is>
      </c>
      <c r="E116" s="100" t="n">
        <v>65</v>
      </c>
      <c r="F116" s="40">
        <f>C116*E116</f>
        <v/>
      </c>
      <c r="G116" s="100" t="n">
        <v>100</v>
      </c>
      <c r="H116" s="40">
        <f>C116*G116</f>
        <v/>
      </c>
      <c r="I116" s="101" t="inlineStr">
        <is>
          <t>１、含水泥、沙、砖、白水泥等辅料。2、人工及机具费（大理石业主自购）。</t>
        </is>
      </c>
    </row>
    <row r="117" ht="15" customHeight="1">
      <c r="A117" s="40" t="n">
        <v>15</v>
      </c>
      <c r="B117" s="102" t="inlineStr">
        <is>
          <t>烟道瓷片防脱落处理</t>
        </is>
      </c>
      <c r="C117" s="40" t="n"/>
      <c r="D117" s="40" t="inlineStr">
        <is>
          <t>项</t>
        </is>
      </c>
      <c r="E117" s="44" t="n">
        <v>160</v>
      </c>
      <c r="F117" s="40">
        <f>C117*E117</f>
        <v/>
      </c>
      <c r="G117" s="44" t="n">
        <v>125</v>
      </c>
      <c r="H117" s="40">
        <f>C117*G117</f>
        <v/>
      </c>
      <c r="I117" s="41" t="inlineStr">
        <is>
          <t>水泥、沙、砖、铁丝网。人工及机具费。（贴瓷片另计）</t>
        </is>
      </c>
      <c r="J117" s="33" t="n"/>
      <c r="K117" s="33" t="n"/>
      <c r="L117" s="33" t="n"/>
    </row>
    <row r="118" ht="15" customHeight="1">
      <c r="A118" s="40" t="n">
        <v>16</v>
      </c>
      <c r="B118" s="43" t="inlineStr">
        <is>
          <t>蹲厕安装</t>
        </is>
      </c>
      <c r="C118" s="40" t="n"/>
      <c r="D118" s="40" t="inlineStr">
        <is>
          <t>项</t>
        </is>
      </c>
      <c r="E118" s="44" t="n">
        <v>45</v>
      </c>
      <c r="F118" s="40">
        <f>C118*E118</f>
        <v/>
      </c>
      <c r="G118" s="44" t="n">
        <v>90</v>
      </c>
      <c r="H118" s="40">
        <f>C118*G118</f>
        <v/>
      </c>
      <c r="I118" s="91" t="inlineStr">
        <is>
          <t>1、水泥、沙、等辅料及人工安装费。2、蹲厕及下水业主自购</t>
        </is>
      </c>
      <c r="J118" s="33" t="n"/>
      <c r="K118" s="33" t="n"/>
      <c r="L118" s="33" t="n"/>
    </row>
    <row r="119" ht="14.25" customFormat="1" customHeight="1" s="12">
      <c r="A119" s="40" t="n">
        <v>17</v>
      </c>
      <c r="B119" s="103" t="inlineStr">
        <is>
          <t>地固漆</t>
        </is>
      </c>
      <c r="C119" s="40" t="n"/>
      <c r="D119" s="40" t="inlineStr">
        <is>
          <t>M2</t>
        </is>
      </c>
      <c r="E119" s="104" t="n">
        <v>9.5</v>
      </c>
      <c r="F119" s="40">
        <f>C119*E119</f>
        <v/>
      </c>
      <c r="G119" s="104" t="n">
        <v>6</v>
      </c>
      <c r="H119" s="40">
        <f>C119*G119</f>
        <v/>
      </c>
      <c r="I119" s="105" t="inlineStr">
        <is>
          <t>广东帝豪装饰专用西牛牌地固漆或德高地固漆、防潮、人工及机具费。</t>
        </is>
      </c>
      <c r="J119" s="106" t="n"/>
      <c r="K119" s="106" t="n"/>
      <c r="L119" s="106" t="n"/>
    </row>
    <row r="120" ht="14.25" customFormat="1" customHeight="1" s="12">
      <c r="A120" s="40" t="n">
        <v>18</v>
      </c>
      <c r="B120" s="43" t="inlineStr">
        <is>
          <t>砌墙（12分）</t>
        </is>
      </c>
      <c r="C120" s="40" t="n"/>
      <c r="D120" s="40" t="inlineStr">
        <is>
          <t>M2</t>
        </is>
      </c>
      <c r="E120" s="40" t="n">
        <v>80</v>
      </c>
      <c r="F120" s="40">
        <f>C120*E120</f>
        <v/>
      </c>
      <c r="G120" s="40" t="n">
        <v>75</v>
      </c>
      <c r="H120" s="40">
        <f>C120*G120</f>
        <v/>
      </c>
      <c r="I120" s="41" t="inlineStr">
        <is>
          <t>1、水泥、沙、砖等辅料及人工工资。（不含墙面批档）</t>
        </is>
      </c>
      <c r="J120" s="33" t="n"/>
      <c r="K120" s="33" t="n"/>
      <c r="L120" s="33" t="n"/>
    </row>
    <row r="121" ht="15" customHeight="1">
      <c r="A121" s="40" t="n">
        <v>19</v>
      </c>
      <c r="B121" s="43" t="inlineStr">
        <is>
          <t>砌墙（24分）</t>
        </is>
      </c>
      <c r="C121" s="40" t="n"/>
      <c r="D121" s="40" t="inlineStr">
        <is>
          <t>M2</t>
        </is>
      </c>
      <c r="E121" s="40" t="n">
        <v>90</v>
      </c>
      <c r="F121" s="40">
        <f>C121*E121</f>
        <v/>
      </c>
      <c r="G121" s="40" t="n">
        <v>85</v>
      </c>
      <c r="H121" s="40">
        <f>C121*G121</f>
        <v/>
      </c>
      <c r="I121" s="41" t="inlineStr">
        <is>
          <t>1、水泥、沙、砖等辅料及人工工资。（不含墙面批档）</t>
        </is>
      </c>
      <c r="J121" s="33" t="n"/>
      <c r="K121" s="33" t="n"/>
      <c r="L121" s="33" t="n"/>
    </row>
    <row r="122" ht="14.25" customHeight="1">
      <c r="A122" s="40" t="n">
        <v>20</v>
      </c>
      <c r="B122" s="43" t="inlineStr">
        <is>
          <t>墙面批档</t>
        </is>
      </c>
      <c r="C122" s="40" t="n"/>
      <c r="D122" s="40" t="inlineStr">
        <is>
          <t>M2</t>
        </is>
      </c>
      <c r="E122" s="40" t="n">
        <v>15</v>
      </c>
      <c r="F122" s="40">
        <f>C122*E122</f>
        <v/>
      </c>
      <c r="G122" s="40" t="n">
        <v>13</v>
      </c>
      <c r="H122" s="40">
        <f>C122*G122</f>
        <v/>
      </c>
      <c r="I122" s="41" t="inlineStr">
        <is>
          <t>1、新老墙接触挂铁丝网批档、含水泥、沙、等材料及人工工资。2、（单面计算）</t>
        </is>
      </c>
      <c r="J122" s="33" t="n"/>
      <c r="K122" s="33" t="n"/>
      <c r="L122" s="33" t="n"/>
    </row>
    <row r="123" ht="14.25" customFormat="1" customHeight="1" s="8">
      <c r="A123" s="40" t="n">
        <v>21</v>
      </c>
      <c r="B123" s="66" t="inlineStr">
        <is>
          <t>开荒保洁</t>
        </is>
      </c>
      <c r="C123" s="40" t="n"/>
      <c r="D123" s="40" t="inlineStr">
        <is>
          <t>M2</t>
        </is>
      </c>
      <c r="E123" s="40" t="n">
        <v>2</v>
      </c>
      <c r="F123" s="40">
        <f>C123*E123</f>
        <v/>
      </c>
      <c r="G123" s="40" t="n">
        <v>6</v>
      </c>
      <c r="H123" s="40">
        <f>C123*G123</f>
        <v/>
      </c>
      <c r="I123" s="41" t="inlineStr">
        <is>
          <t>全屋整体开荒保洁一次。</t>
        </is>
      </c>
      <c r="J123" s="67" t="n"/>
      <c r="K123" s="67" t="n"/>
      <c r="L123" s="67" t="n"/>
    </row>
    <row r="124" ht="17.25" customFormat="1" customHeight="1" s="7">
      <c r="A124" s="60" t="n"/>
      <c r="B124" s="61" t="inlineStr">
        <is>
          <t>小计</t>
        </is>
      </c>
      <c r="C124" s="60" t="n"/>
      <c r="D124" s="60" t="n"/>
      <c r="E124" s="60" t="n"/>
      <c r="F124" s="60">
        <f>SUM(F103:F123)</f>
        <v/>
      </c>
      <c r="G124" s="60" t="n"/>
      <c r="H124" s="60">
        <f>SUM(H103:H123)</f>
        <v/>
      </c>
      <c r="I124" s="62" t="n"/>
      <c r="J124" s="63" t="n"/>
      <c r="K124" s="63" t="n"/>
      <c r="L124" s="63" t="n"/>
    </row>
    <row r="125" ht="17.25" customHeight="1">
      <c r="A125" s="40" t="n"/>
      <c r="B125" s="64" t="inlineStr">
        <is>
          <t>合计</t>
        </is>
      </c>
      <c r="C125" s="40" t="n"/>
      <c r="D125" s="40" t="n"/>
      <c r="E125" s="40" t="n"/>
      <c r="F125" s="147">
        <f>F124+F76+F70+F63+F52+F45+F34+F25</f>
        <v/>
      </c>
      <c r="G125" s="147" t="n"/>
      <c r="H125" s="147">
        <f>H124+H76+H70+H63+H52+H45+H34+H25</f>
        <v/>
      </c>
      <c r="I125" s="41" t="n"/>
      <c r="J125" s="33" t="n"/>
      <c r="K125" s="33" t="n"/>
      <c r="L125" s="33" t="n"/>
    </row>
    <row r="126" ht="17.25" customFormat="1" customHeight="1" s="7">
      <c r="A126" s="60" t="n"/>
      <c r="B126" s="61" t="inlineStr">
        <is>
          <t>直接费</t>
        </is>
      </c>
      <c r="C126" s="60" t="n"/>
      <c r="D126" s="60" t="n"/>
      <c r="E126" s="60" t="n"/>
      <c r="F126" s="60" t="n"/>
      <c r="G126" s="60" t="n"/>
      <c r="H126" s="148">
        <f>F125+H125</f>
        <v/>
      </c>
      <c r="I126" s="109" t="n"/>
      <c r="J126" s="63" t="n"/>
      <c r="K126" s="63" t="n"/>
      <c r="L126" s="63" t="n"/>
    </row>
    <row r="127" ht="18" customFormat="1" customHeight="1" s="15">
      <c r="A127" s="110" t="n"/>
      <c r="B127" s="120" t="inlineStr">
        <is>
          <t>以下项目不打折</t>
        </is>
      </c>
      <c r="C127" s="145" t="n"/>
      <c r="D127" s="145" t="n"/>
      <c r="E127" s="145" t="n"/>
      <c r="F127" s="145" t="n"/>
      <c r="G127" s="145" t="n"/>
      <c r="H127" s="145" t="n"/>
      <c r="I127" s="146" t="n"/>
      <c r="J127" s="114" t="n"/>
      <c r="K127" s="114" t="n"/>
      <c r="L127" s="114" t="n"/>
    </row>
    <row r="128" ht="14.25" customHeight="1">
      <c r="A128" s="40" t="n"/>
      <c r="B128" s="115" t="inlineStr">
        <is>
          <t>搬运费3.5%</t>
        </is>
      </c>
      <c r="C128" s="40" t="n"/>
      <c r="D128" s="40" t="n"/>
      <c r="E128" s="40" t="n"/>
      <c r="F128" s="40" t="n"/>
      <c r="G128" s="116" t="n"/>
      <c r="H128" s="147">
        <f>H126*3.5%</f>
        <v/>
      </c>
      <c r="I128" s="41" t="inlineStr">
        <is>
          <t>1、不含主材搬运费（直接费*3.5%）</t>
        </is>
      </c>
      <c r="J128" s="33" t="n"/>
      <c r="K128" s="33" t="n"/>
      <c r="L128" s="33" t="n"/>
    </row>
    <row r="129" ht="24" customHeight="1">
      <c r="A129" s="40" t="n"/>
      <c r="B129" s="64" t="inlineStr">
        <is>
          <t>建渣清运3%</t>
        </is>
      </c>
      <c r="C129" s="40" t="n"/>
      <c r="D129" s="40" t="n"/>
      <c r="E129" s="40" t="n"/>
      <c r="F129" s="40" t="n"/>
      <c r="G129" s="116" t="n"/>
      <c r="H129" s="147">
        <f>H126*3%</f>
        <v/>
      </c>
      <c r="I129" s="41" t="inlineStr">
        <is>
          <t>1、从施工现场运至物业指定垃圾堆放处。2、垃圾用编织袋等封装。3、此价格不含垃圾外运费。4、此项费用不包括物业收取的垃圾费（直接费*3%）</t>
        </is>
      </c>
      <c r="J129" s="33" t="n"/>
      <c r="K129" s="33" t="n"/>
      <c r="L129" s="33" t="n"/>
    </row>
    <row r="130" ht="15.75" customFormat="1" customHeight="1" s="5">
      <c r="A130" s="40" t="n"/>
      <c r="B130" s="64" t="inlineStr">
        <is>
          <t>管理费8%</t>
        </is>
      </c>
      <c r="C130" s="40" t="n"/>
      <c r="D130" s="40" t="n"/>
      <c r="E130" s="40" t="n"/>
      <c r="F130" s="149" t="n"/>
      <c r="G130" s="40" t="n"/>
      <c r="H130" s="147">
        <f>H126*8%</f>
        <v/>
      </c>
      <c r="I130" s="41" t="inlineStr">
        <is>
          <t>（直接费*8%）</t>
        </is>
      </c>
      <c r="J130" s="118" t="n"/>
      <c r="K130" s="119" t="n"/>
      <c r="L130" s="119" t="n"/>
    </row>
    <row r="131" ht="15.75" customFormat="1" customHeight="1" s="5">
      <c r="A131" s="40" t="n"/>
      <c r="B131" s="64" t="inlineStr">
        <is>
          <t>设计服务费5%</t>
        </is>
      </c>
      <c r="C131" s="40" t="n"/>
      <c r="D131" s="40" t="n"/>
      <c r="E131" s="40" t="n"/>
      <c r="F131" s="149" t="n"/>
      <c r="G131" s="40" t="n"/>
      <c r="H131" s="147">
        <f>H126*5%</f>
        <v/>
      </c>
      <c r="I131" s="41" t="inlineStr">
        <is>
          <t>（直接费*5%）</t>
        </is>
      </c>
      <c r="J131" s="118" t="n"/>
      <c r="K131" s="119" t="n"/>
      <c r="L131" s="119" t="n"/>
    </row>
    <row r="132" ht="15.75" customFormat="1" customHeight="1" s="16">
      <c r="A132" s="110" t="n"/>
      <c r="B132" s="120" t="inlineStr">
        <is>
          <t>总计</t>
        </is>
      </c>
      <c r="C132" s="110" t="n"/>
      <c r="D132" s="110" t="n"/>
      <c r="E132" s="110" t="n"/>
      <c r="F132" s="150" t="n"/>
      <c r="G132" s="110" t="n"/>
      <c r="H132" s="151">
        <f>H131+H130+H129+H128+H126</f>
        <v/>
      </c>
      <c r="I132" s="152" t="n"/>
      <c r="J132" s="124" t="n"/>
      <c r="K132" s="125" t="n"/>
      <c r="L132" s="125" t="n"/>
    </row>
    <row r="133" ht="15" customFormat="1" customHeight="1" s="5">
      <c r="A133" s="40" t="n"/>
      <c r="B133" s="126" t="inlineStr">
        <is>
          <t>税金=（总计*6%）</t>
        </is>
      </c>
      <c r="C133" s="145" t="n"/>
      <c r="D133" s="145" t="n"/>
      <c r="E133" s="145" t="n"/>
      <c r="F133" s="145" t="n"/>
      <c r="G133" s="145" t="n"/>
      <c r="H133" s="128" t="n"/>
      <c r="I133" s="153" t="inlineStr">
        <is>
          <t>1、以上价格未含税金，若要另开正规税务发票需另收总计6%的税费</t>
        </is>
      </c>
      <c r="J133" s="118" t="n"/>
      <c r="K133" s="119" t="n"/>
      <c r="L133" s="119" t="n"/>
    </row>
    <row r="134" ht="17.15" customFormat="1" customHeight="1" s="16">
      <c r="A134" s="110" t="inlineStr">
        <is>
          <t>一</t>
        </is>
      </c>
      <c r="B134" s="120" t="inlineStr">
        <is>
          <t>补充报价</t>
        </is>
      </c>
      <c r="C134" s="110" t="n"/>
      <c r="D134" s="110" t="n"/>
      <c r="E134" s="110" t="n"/>
      <c r="F134" s="150" t="n"/>
      <c r="G134" s="110" t="n"/>
      <c r="H134" s="150" t="n"/>
      <c r="J134" s="124" t="n"/>
      <c r="K134" s="125" t="n"/>
      <c r="L134" s="125" t="n"/>
    </row>
    <row r="135" ht="15" customFormat="1" customHeight="1" s="5">
      <c r="A135" s="40" t="n">
        <v>1</v>
      </c>
      <c r="B135" s="43" t="inlineStr">
        <is>
          <t>抽屉及键盘</t>
        </is>
      </c>
      <c r="C135" s="40" t="n"/>
      <c r="D135" s="40" t="inlineStr">
        <is>
          <t>只</t>
        </is>
      </c>
      <c r="E135" s="44" t="n">
        <v>95</v>
      </c>
      <c r="F135" s="40">
        <f>C135*E135</f>
        <v/>
      </c>
      <c r="G135" s="44" t="n">
        <v>45</v>
      </c>
      <c r="H135" s="44">
        <f>C135*G135</f>
        <v/>
      </c>
      <c r="I135" s="41" t="inlineStr">
        <is>
          <t>1、1.8厚鹏鸿实木免漆板做主体结构、专用收边条收边。三节轨道固定。2、人工工资及机具费</t>
        </is>
      </c>
      <c r="J135" s="118" t="n"/>
      <c r="K135" s="119" t="n"/>
      <c r="L135" s="119" t="n"/>
    </row>
    <row r="136" ht="15" customHeight="1">
      <c r="A136" s="40" t="n">
        <v>2</v>
      </c>
      <c r="B136" s="43" t="inlineStr">
        <is>
          <t>小挂件安装</t>
        </is>
      </c>
      <c r="C136" s="40" t="n"/>
      <c r="D136" s="40" t="inlineStr">
        <is>
          <t>项</t>
        </is>
      </c>
      <c r="E136" s="44" t="n">
        <v>2</v>
      </c>
      <c r="F136" s="40">
        <f>C136*E136</f>
        <v/>
      </c>
      <c r="G136" s="44" t="n">
        <v>6</v>
      </c>
      <c r="H136" s="40">
        <f>C136*G136</f>
        <v/>
      </c>
      <c r="I136" s="41" t="inlineStr">
        <is>
          <t>1、巾架、浴巾架、肥皂盒、杯托架等，每个算1项</t>
        </is>
      </c>
      <c r="J136" s="33" t="n"/>
      <c r="K136" s="33" t="n"/>
      <c r="L136" s="33" t="n"/>
    </row>
    <row r="137" ht="15" customHeight="1">
      <c r="A137" s="40" t="n">
        <v>3</v>
      </c>
      <c r="B137" s="43" t="inlineStr">
        <is>
          <t>洗手盆安装</t>
        </is>
      </c>
      <c r="C137" s="40" t="n"/>
      <c r="D137" s="40" t="inlineStr">
        <is>
          <t>项</t>
        </is>
      </c>
      <c r="E137" s="44" t="n">
        <v>20</v>
      </c>
      <c r="F137" s="40">
        <f>C137*E137</f>
        <v/>
      </c>
      <c r="G137" s="44" t="n">
        <v>45</v>
      </c>
      <c r="H137" s="40">
        <f>C137*G137</f>
        <v/>
      </c>
      <c r="I137" s="91" t="inlineStr">
        <is>
          <t>1、玻璃胶、等辅料及人工安装费。洗手盆及下水业主自购</t>
        </is>
      </c>
      <c r="J137" s="33" t="n"/>
      <c r="K137" s="33" t="n"/>
      <c r="L137" s="33" t="n"/>
    </row>
    <row r="138" ht="15" customHeight="1">
      <c r="A138" s="40" t="n">
        <v>4</v>
      </c>
      <c r="B138" s="43" t="inlineStr">
        <is>
          <t>淋浴安装</t>
        </is>
      </c>
      <c r="C138" s="40" t="n"/>
      <c r="D138" s="40" t="inlineStr">
        <is>
          <t>项</t>
        </is>
      </c>
      <c r="E138" s="44" t="n">
        <v>20</v>
      </c>
      <c r="F138" s="40">
        <f>C138*E138</f>
        <v/>
      </c>
      <c r="G138" s="44" t="n">
        <v>60</v>
      </c>
      <c r="H138" s="40">
        <f>C138*G138</f>
        <v/>
      </c>
      <c r="I138" s="91" t="inlineStr">
        <is>
          <t>1、玻璃胶、等辅料及人工安装费。淋浴喷洒业主自购</t>
        </is>
      </c>
      <c r="J138" s="33" t="n"/>
      <c r="K138" s="33" t="n"/>
      <c r="L138" s="33" t="n"/>
    </row>
    <row r="139" ht="15" customHeight="1">
      <c r="A139" s="40" t="n">
        <v>5</v>
      </c>
      <c r="B139" s="43" t="inlineStr">
        <is>
          <t>座厕安装</t>
        </is>
      </c>
      <c r="C139" s="40" t="n"/>
      <c r="D139" s="40" t="inlineStr">
        <is>
          <t>项</t>
        </is>
      </c>
      <c r="E139" s="44" t="n">
        <v>20</v>
      </c>
      <c r="F139" s="40">
        <f>C139*E139</f>
        <v/>
      </c>
      <c r="G139" s="44" t="n">
        <v>85</v>
      </c>
      <c r="H139" s="40">
        <f>C139*G139</f>
        <v/>
      </c>
      <c r="I139" s="91" t="inlineStr">
        <is>
          <t>1、水泥、沙、等辅料及人工安装费。2、座厕及下水业主自购</t>
        </is>
      </c>
      <c r="J139" s="33" t="n"/>
      <c r="K139" s="33" t="n"/>
      <c r="L139" s="33" t="n"/>
    </row>
    <row r="140" ht="15" customHeight="1">
      <c r="A140" s="40" t="n">
        <v>6</v>
      </c>
      <c r="B140" s="43" t="inlineStr">
        <is>
          <t>蹲厕安装</t>
        </is>
      </c>
      <c r="C140" s="40" t="n"/>
      <c r="D140" s="40" t="inlineStr">
        <is>
          <t>项</t>
        </is>
      </c>
      <c r="E140" s="44" t="n">
        <v>45</v>
      </c>
      <c r="F140" s="40">
        <f>C140*E140</f>
        <v/>
      </c>
      <c r="G140" s="44" t="n">
        <v>90</v>
      </c>
      <c r="H140" s="40">
        <f>C140*G140</f>
        <v/>
      </c>
      <c r="I140" s="91" t="inlineStr">
        <is>
          <t>1、水泥、沙、等辅料及人工安装费。2、蹲厕及下水业主自购</t>
        </is>
      </c>
      <c r="J140" s="33" t="n"/>
      <c r="K140" s="33" t="n"/>
      <c r="L140" s="33" t="n"/>
    </row>
    <row r="141" ht="15" customHeight="1">
      <c r="A141" s="40" t="n">
        <v>7</v>
      </c>
      <c r="B141" s="43" t="inlineStr">
        <is>
          <t>砌壁龛</t>
        </is>
      </c>
      <c r="C141" s="40" t="n"/>
      <c r="D141" s="40" t="inlineStr">
        <is>
          <t>项</t>
        </is>
      </c>
      <c r="E141" s="44" t="n">
        <v>180</v>
      </c>
      <c r="F141" s="40">
        <f>C141*E141</f>
        <v/>
      </c>
      <c r="G141" s="44" t="n">
        <v>120</v>
      </c>
      <c r="H141" s="44">
        <f>C141*G141</f>
        <v/>
      </c>
      <c r="I141" s="45" t="inlineStr">
        <is>
          <t>水泥、沙、红砖等辅料、人工及机具费。</t>
        </is>
      </c>
      <c r="J141" s="33" t="n"/>
      <c r="K141" s="33" t="n"/>
      <c r="L141" s="33" t="n"/>
    </row>
    <row r="142" ht="15" customHeight="1">
      <c r="A142" s="40" t="n">
        <v>8</v>
      </c>
      <c r="B142" s="43" t="inlineStr">
        <is>
          <t>窗帘盒</t>
        </is>
      </c>
      <c r="C142" s="40" t="n"/>
      <c r="D142" s="40" t="inlineStr">
        <is>
          <t>M</t>
        </is>
      </c>
      <c r="E142" s="44" t="n">
        <v>70</v>
      </c>
      <c r="F142" s="40">
        <f>C142*E142</f>
        <v/>
      </c>
      <c r="G142" s="44" t="n">
        <v>25</v>
      </c>
      <c r="H142" s="44">
        <f>C142*G142</f>
        <v/>
      </c>
      <c r="I142" s="45" t="inlineStr">
        <is>
          <t>欧松板、石膏板、辅料、人工及机具费。</t>
        </is>
      </c>
      <c r="J142" s="33" t="n"/>
      <c r="K142" s="33" t="n"/>
      <c r="L142" s="33" t="n"/>
    </row>
    <row r="143" ht="15" customFormat="1" customHeight="1" s="13">
      <c r="A143" s="40" t="n">
        <v>9</v>
      </c>
      <c r="B143" s="66" t="inlineStr">
        <is>
          <t>空调孔开孔</t>
        </is>
      </c>
      <c r="C143" s="40" t="n"/>
      <c r="D143" s="40" t="inlineStr">
        <is>
          <t>项</t>
        </is>
      </c>
      <c r="E143" s="83" t="n">
        <v>0</v>
      </c>
      <c r="F143" s="40">
        <f>C143*E143</f>
        <v/>
      </c>
      <c r="G143" s="40" t="n">
        <v>50</v>
      </c>
      <c r="H143" s="40">
        <f>C143*G143</f>
        <v/>
      </c>
      <c r="I143" s="92" t="inlineStr">
        <is>
          <t>人工及机具费</t>
        </is>
      </c>
      <c r="J143" s="93" t="n"/>
      <c r="K143" s="93" t="n"/>
      <c r="L143" s="93" t="n"/>
    </row>
    <row r="144" ht="15" customFormat="1" customHeight="1" s="13">
      <c r="A144" s="40" t="n">
        <v>10</v>
      </c>
      <c r="B144" s="66" t="inlineStr">
        <is>
          <t>开孔</t>
        </is>
      </c>
      <c r="C144" s="40" t="n"/>
      <c r="D144" s="40" t="inlineStr">
        <is>
          <t>项</t>
        </is>
      </c>
      <c r="E144" s="83" t="n">
        <v>50</v>
      </c>
      <c r="F144" s="40">
        <f>C144*E144</f>
        <v/>
      </c>
      <c r="G144" s="40" t="n">
        <v>100</v>
      </c>
      <c r="H144" s="40">
        <f>C144*G144</f>
        <v/>
      </c>
      <c r="I144" s="92" t="inlineStr">
        <is>
          <t>人工及机具费（厨房及卫生间瓷砖上开水管牙头孔）</t>
        </is>
      </c>
      <c r="J144" s="93" t="n"/>
      <c r="K144" s="93" t="n"/>
      <c r="L144" s="93" t="n"/>
    </row>
    <row r="145" ht="15" customHeight="1">
      <c r="A145" s="40" t="n">
        <v>11</v>
      </c>
      <c r="B145" s="102" t="inlineStr">
        <is>
          <t>悬挂电视位红砖加固</t>
        </is>
      </c>
      <c r="C145" s="40" t="n"/>
      <c r="D145" s="40" t="inlineStr">
        <is>
          <t>项</t>
        </is>
      </c>
      <c r="E145" s="44" t="n">
        <v>120</v>
      </c>
      <c r="F145" s="40">
        <f>C145*E145</f>
        <v/>
      </c>
      <c r="G145" s="44" t="n">
        <v>160</v>
      </c>
      <c r="H145" s="44">
        <f>C145*G145</f>
        <v/>
      </c>
      <c r="I145" s="45" t="inlineStr">
        <is>
          <t>水泥、沙、红砖等辅料、人工及机具费。</t>
        </is>
      </c>
      <c r="J145" s="33" t="n"/>
      <c r="K145" s="33" t="n"/>
      <c r="L145" s="33" t="n"/>
    </row>
    <row r="146" ht="15" customFormat="1" customHeight="1" s="14">
      <c r="A146" s="40" t="n">
        <v>12</v>
      </c>
      <c r="B146" s="97" t="inlineStr">
        <is>
          <t>中央空调风口加固</t>
        </is>
      </c>
      <c r="C146" s="49" t="n"/>
      <c r="D146" s="49" t="inlineStr">
        <is>
          <t>项</t>
        </is>
      </c>
      <c r="E146" s="82" t="n">
        <v>25</v>
      </c>
      <c r="F146" s="49">
        <f>C146*E146</f>
        <v/>
      </c>
      <c r="G146" s="82" t="n">
        <v>45</v>
      </c>
      <c r="H146" s="82">
        <f>C146*G146</f>
        <v/>
      </c>
      <c r="I146" s="57" t="inlineStr">
        <is>
          <t>中央空调出风口及入风口加固</t>
        </is>
      </c>
      <c r="J146" s="58" t="n"/>
      <c r="K146" s="58" t="n"/>
      <c r="L146" s="58" t="n"/>
    </row>
    <row r="147" ht="14.15" customFormat="1" customHeight="1" s="10">
      <c r="A147" s="40" t="n">
        <v>13</v>
      </c>
      <c r="B147" s="57" t="inlineStr">
        <is>
          <t>地暖后整体找平</t>
        </is>
      </c>
      <c r="C147" s="49" t="n"/>
      <c r="D147" s="49" t="inlineStr">
        <is>
          <t>M2</t>
        </is>
      </c>
      <c r="E147" s="82" t="n">
        <v>23</v>
      </c>
      <c r="F147" s="49">
        <f>C147*E147</f>
        <v/>
      </c>
      <c r="G147" s="82" t="n">
        <v>16</v>
      </c>
      <c r="H147" s="49">
        <f>C147*G147</f>
        <v/>
      </c>
      <c r="I147" s="50" t="inlineStr">
        <is>
          <t>水泥、沙浆等辅料、人工及机具费(加钢丝网另加10元/㎡）</t>
        </is>
      </c>
      <c r="J147" s="77" t="n"/>
      <c r="K147" s="77" t="n"/>
      <c r="L147" s="77" t="n"/>
    </row>
    <row r="148" ht="14.15" customFormat="1" customHeight="1" s="8">
      <c r="A148" s="40" t="n">
        <v>14</v>
      </c>
      <c r="B148" s="45" t="inlineStr">
        <is>
          <t>做地暖门洞升高</t>
        </is>
      </c>
      <c r="C148" s="40" t="n"/>
      <c r="D148" s="40" t="inlineStr">
        <is>
          <t>项</t>
        </is>
      </c>
      <c r="E148" s="44" t="n">
        <v>120</v>
      </c>
      <c r="F148" s="40">
        <f>C148*E148</f>
        <v/>
      </c>
      <c r="G148" s="44" t="n">
        <v>180</v>
      </c>
      <c r="H148" s="40">
        <f>C148*G148</f>
        <v/>
      </c>
      <c r="I148" s="41" t="inlineStr">
        <is>
          <t>门洞升高及修补。</t>
        </is>
      </c>
      <c r="J148" s="67" t="n"/>
      <c r="K148" s="67" t="n"/>
      <c r="L148" s="67" t="n"/>
    </row>
    <row r="149" ht="14.15" customFormat="1" customHeight="1" s="8">
      <c r="A149" s="40" t="n">
        <v>15</v>
      </c>
      <c r="B149" s="98" t="inlineStr">
        <is>
          <t>淋浴基石安装</t>
        </is>
      </c>
      <c r="C149" s="99" t="n"/>
      <c r="D149" s="99" t="inlineStr">
        <is>
          <t>M</t>
        </is>
      </c>
      <c r="E149" s="100" t="n">
        <v>65</v>
      </c>
      <c r="F149" s="40">
        <f>C149*E149</f>
        <v/>
      </c>
      <c r="G149" s="100" t="n">
        <v>100</v>
      </c>
      <c r="H149" s="40">
        <f>C149*G149</f>
        <v/>
      </c>
      <c r="I149" s="101" t="inlineStr">
        <is>
          <t>１、含水泥、沙、砖、白水泥等辅料。2、人工及机具费（大理石业主自购）。</t>
        </is>
      </c>
    </row>
    <row r="150" ht="15" customFormat="1" customHeight="1" s="17">
      <c r="A150" s="40" t="n">
        <v>16</v>
      </c>
      <c r="B150" s="130" t="inlineStr">
        <is>
          <t>顶面白灰铲除</t>
        </is>
      </c>
      <c r="C150" s="40" t="n"/>
      <c r="D150" s="40" t="inlineStr">
        <is>
          <t>M2</t>
        </is>
      </c>
      <c r="E150" s="131" t="n"/>
      <c r="F150" s="40">
        <f>C150*E150</f>
        <v/>
      </c>
      <c r="G150" s="131" t="n">
        <v>5</v>
      </c>
      <c r="H150" s="40">
        <f>C150*G150</f>
        <v/>
      </c>
      <c r="I150" s="132" t="inlineStr">
        <is>
          <t>人工及机具费(墙面如有白灰需铲除的需另加3元/㎡)</t>
        </is>
      </c>
    </row>
    <row r="151" ht="15" customHeight="1">
      <c r="A151" s="40" t="n">
        <v>17</v>
      </c>
      <c r="B151" s="43" t="inlineStr">
        <is>
          <t>成品保护</t>
        </is>
      </c>
      <c r="C151" s="40" t="n"/>
      <c r="D151" s="40" t="inlineStr">
        <is>
          <t>项</t>
        </is>
      </c>
      <c r="E151" s="44" t="n">
        <v>180</v>
      </c>
      <c r="F151" s="40">
        <f>C151*E151</f>
        <v/>
      </c>
      <c r="G151" s="44" t="n">
        <v>320</v>
      </c>
      <c r="H151" s="40">
        <f>C151*G151</f>
        <v/>
      </c>
      <c r="I151" s="41" t="inlineStr">
        <is>
          <t>专用保护膜、辅料及人工</t>
        </is>
      </c>
      <c r="J151" s="33" t="n"/>
      <c r="K151" s="33" t="n"/>
      <c r="L151" s="33" t="n"/>
    </row>
    <row r="152" ht="15" customHeight="1">
      <c r="A152" s="40" t="n">
        <v>18</v>
      </c>
      <c r="B152" s="43" t="inlineStr">
        <is>
          <t>暗装预埋花洒</t>
        </is>
      </c>
      <c r="C152" s="40" t="n"/>
      <c r="D152" s="40" t="inlineStr">
        <is>
          <t>项</t>
        </is>
      </c>
      <c r="E152" s="44" t="n">
        <v>200</v>
      </c>
      <c r="F152" s="40">
        <f>C152*E152</f>
        <v/>
      </c>
      <c r="G152" s="44" t="n">
        <v>150</v>
      </c>
      <c r="H152" s="40">
        <f>C152*G152</f>
        <v/>
      </c>
      <c r="I152" s="41" t="inlineStr">
        <is>
          <t>1、开槽，管件预埋、2、人工及机具费</t>
        </is>
      </c>
      <c r="J152" s="33" t="n"/>
      <c r="K152" s="33" t="n"/>
      <c r="L152" s="33" t="n"/>
    </row>
    <row r="153" ht="15" customHeight="1">
      <c r="A153" s="40" t="n">
        <v>19</v>
      </c>
      <c r="B153" s="43" t="inlineStr">
        <is>
          <t>暗装预埋水箱</t>
        </is>
      </c>
      <c r="C153" s="40" t="n"/>
      <c r="D153" s="40" t="inlineStr">
        <is>
          <t>项</t>
        </is>
      </c>
      <c r="E153" s="44" t="n">
        <v>130</v>
      </c>
      <c r="F153" s="40">
        <f>C153*E153</f>
        <v/>
      </c>
      <c r="G153" s="44" t="n">
        <v>70</v>
      </c>
      <c r="H153" s="40">
        <f>C153*G153</f>
        <v/>
      </c>
      <c r="I153" s="41" t="inlineStr">
        <is>
          <t>1、开槽，水箱预埋、2、人工及机具费</t>
        </is>
      </c>
      <c r="J153" s="33" t="n"/>
      <c r="K153" s="33" t="n"/>
      <c r="L153" s="33" t="n"/>
    </row>
    <row r="154" ht="15.75" customFormat="1" customHeight="1" s="12">
      <c r="A154" s="40" t="n">
        <v>20</v>
      </c>
      <c r="B154" s="133" t="inlineStr">
        <is>
          <t>墙面防裂网</t>
        </is>
      </c>
      <c r="C154" s="40" t="n"/>
      <c r="D154" s="99" t="inlineStr">
        <is>
          <t>M2</t>
        </is>
      </c>
      <c r="E154" s="100" t="n">
        <v>4</v>
      </c>
      <c r="F154" s="99">
        <f>C154*E154</f>
        <v/>
      </c>
      <c r="G154" s="100" t="n">
        <v>2.5</v>
      </c>
      <c r="H154" s="40">
        <f>C154*G154</f>
        <v/>
      </c>
      <c r="I154" s="101" t="inlineStr">
        <is>
          <t>墙面挂网、人工</t>
        </is>
      </c>
    </row>
    <row r="155" ht="15.75" customFormat="1" customHeight="1" s="12">
      <c r="A155" s="40" t="n">
        <v>21</v>
      </c>
      <c r="B155" s="98" t="inlineStr">
        <is>
          <t>阳台大理石挡水边</t>
        </is>
      </c>
      <c r="C155" s="40" t="n"/>
      <c r="D155" s="99" t="inlineStr">
        <is>
          <t>M</t>
        </is>
      </c>
      <c r="E155" s="100" t="n">
        <v>25</v>
      </c>
      <c r="F155" s="40">
        <f>C155*E155</f>
        <v/>
      </c>
      <c r="G155" s="100" t="n">
        <v>48</v>
      </c>
      <c r="H155" s="40">
        <f>C155*G155</f>
        <v/>
      </c>
      <c r="I155" s="101" t="inlineStr">
        <is>
          <t>１、含水泥、沙、白水泥等辅料。2、人工及机具费（大理石业主自购）。</t>
        </is>
      </c>
    </row>
    <row r="156" ht="15" customHeight="1">
      <c r="A156" s="40" t="n">
        <v>22</v>
      </c>
      <c r="B156" s="102" t="inlineStr">
        <is>
          <t>烟道瓷片防脱落处理</t>
        </is>
      </c>
      <c r="C156" s="40" t="n"/>
      <c r="D156" s="40" t="inlineStr">
        <is>
          <t>项</t>
        </is>
      </c>
      <c r="E156" s="44" t="n">
        <v>160</v>
      </c>
      <c r="F156" s="40">
        <f>C156*E156</f>
        <v/>
      </c>
      <c r="G156" s="44" t="n">
        <v>125</v>
      </c>
      <c r="H156" s="40">
        <f>C156*G156</f>
        <v/>
      </c>
      <c r="I156" s="41" t="inlineStr">
        <is>
          <t>水泥、沙、砖、铁丝网。人工及机具费。（贴瓷片另计）</t>
        </is>
      </c>
      <c r="J156" s="33" t="n"/>
      <c r="K156" s="33" t="n"/>
      <c r="L156" s="33" t="n"/>
    </row>
    <row r="157" ht="14.15" customFormat="1" customHeight="1" s="8">
      <c r="A157" s="40" t="n">
        <v>23</v>
      </c>
      <c r="B157" s="98" t="inlineStr">
        <is>
          <t>拆构造柱</t>
        </is>
      </c>
      <c r="C157" s="99" t="n"/>
      <c r="D157" s="99" t="inlineStr">
        <is>
          <t>M</t>
        </is>
      </c>
      <c r="E157" s="100" t="n"/>
      <c r="F157" s="40">
        <f>C157*E157</f>
        <v/>
      </c>
      <c r="G157" s="100" t="n">
        <v>85</v>
      </c>
      <c r="H157" s="40">
        <f>C157*G157</f>
        <v/>
      </c>
      <c r="I157" s="41" t="inlineStr">
        <is>
          <t>编织袋装袋及人工</t>
        </is>
      </c>
    </row>
    <row r="158" ht="17.15" customFormat="1" customHeight="1" s="5">
      <c r="A158" s="40" t="inlineStr">
        <is>
          <t>二</t>
        </is>
      </c>
      <c r="B158" s="64" t="inlineStr">
        <is>
          <t>补充说明</t>
        </is>
      </c>
      <c r="C158" s="134" t="n"/>
      <c r="D158" s="145" t="n"/>
      <c r="E158" s="145" t="n"/>
      <c r="F158" s="145" t="n"/>
      <c r="G158" s="145" t="n"/>
      <c r="H158" s="145" t="n"/>
      <c r="I158" s="146" t="n"/>
      <c r="J158" s="118" t="n"/>
      <c r="K158" s="119" t="n"/>
      <c r="L158" s="119" t="n"/>
    </row>
    <row r="159" ht="27" customFormat="1" customHeight="1" s="5">
      <c r="A159" s="40" t="n">
        <v>1</v>
      </c>
      <c r="B159" s="135" t="inlineStr">
        <is>
          <t>业主自购材料：大理石、地砖、瓷片、墙纸及墙布、艺术漆、木地板、灯具、洁具、橱柜及电器、铝扣吊顶、艺术玻璃、定制家具及护墙板、实木雕花、水龙头、门窗及门锁、五金件、开关插座面板、地漏、空调打洞、煤气总闸等</t>
        </is>
      </c>
      <c r="C159" s="145" t="n"/>
      <c r="D159" s="145" t="n"/>
      <c r="E159" s="145" t="n"/>
      <c r="F159" s="145" t="n"/>
      <c r="G159" s="145" t="n"/>
      <c r="H159" s="145" t="n"/>
      <c r="I159" s="146" t="n"/>
      <c r="J159" s="118" t="n"/>
      <c r="K159" s="119" t="n"/>
      <c r="L159" s="119" t="n"/>
    </row>
    <row r="160" ht="29" customFormat="1" customHeight="1" s="5">
      <c r="A160" s="40" t="n">
        <v>2</v>
      </c>
      <c r="B160" s="43" t="inlineStr">
        <is>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is>
      </c>
      <c r="C160" s="145" t="n"/>
      <c r="D160" s="145" t="n"/>
      <c r="E160" s="145" t="n"/>
      <c r="F160" s="145" t="n"/>
      <c r="G160" s="145" t="n"/>
      <c r="H160" s="145" t="n"/>
      <c r="I160" s="146" t="n"/>
      <c r="J160" s="118" t="n"/>
      <c r="K160" s="119" t="n"/>
      <c r="L160" s="119" t="n"/>
    </row>
    <row r="161" ht="29.25" customFormat="1" customHeight="1" s="5">
      <c r="A161" s="40" t="n">
        <v>3</v>
      </c>
      <c r="B161" s="135" t="inlineStr">
        <is>
          <t>如果您先做预算（指尚未出施工图纸），此报价仅供您参考或作为您与我公司签定合同的参考依据，我公司保留依施工图纸所用材料和加工件复杂系数 ，修订项目单价的权力（具体价格待施工图确定后再定）</t>
        </is>
      </c>
      <c r="C161" s="145" t="n"/>
      <c r="D161" s="145" t="n"/>
      <c r="E161" s="145" t="n"/>
      <c r="F161" s="145" t="n"/>
      <c r="G161" s="145" t="n"/>
      <c r="H161" s="145" t="n"/>
      <c r="I161" s="146" t="n"/>
      <c r="J161" s="118" t="n"/>
      <c r="K161" s="119" t="n"/>
      <c r="L161" s="119" t="n"/>
    </row>
    <row r="162" ht="27.75" customFormat="1" customHeight="1" s="5">
      <c r="A162" s="40" t="n">
        <v>4</v>
      </c>
      <c r="B162" s="135" t="inlineStr">
        <is>
          <t>工程所在地方的房管局审批费用和物业管理处所交一切费用由业主支付；乙方协助提供甲方所需相关资料。施工中如有增减项目，以增减项目变更单为准结算工程款；工程结算时，按实际发生的工程量计算；</t>
        </is>
      </c>
      <c r="C162" s="145" t="n"/>
      <c r="D162" s="145" t="n"/>
      <c r="E162" s="145" t="n"/>
      <c r="F162" s="145" t="n"/>
      <c r="G162" s="145" t="n"/>
      <c r="H162" s="145" t="n"/>
      <c r="I162" s="146" t="n"/>
      <c r="J162" s="118" t="n"/>
      <c r="K162" s="119" t="n"/>
      <c r="L162" s="119" t="n"/>
    </row>
    <row r="163" ht="57" customFormat="1" customHeight="1" s="5">
      <c r="A163" s="40" t="n">
        <v>5</v>
      </c>
      <c r="B163" s="135" t="inlineStr">
        <is>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is>
      </c>
      <c r="C163" s="145" t="n"/>
      <c r="D163" s="145" t="n"/>
      <c r="E163" s="145" t="n"/>
      <c r="F163" s="145" t="n"/>
      <c r="G163" s="145" t="n"/>
      <c r="H163" s="145" t="n"/>
      <c r="I163" s="146" t="n"/>
      <c r="J163" s="118" t="n"/>
      <c r="K163" s="119" t="n"/>
      <c r="L163" s="119" t="n"/>
    </row>
    <row r="164" ht="31.5" customFormat="1" customHeight="1" s="5">
      <c r="A164" s="40" t="n">
        <v>6</v>
      </c>
      <c r="B164" s="43" t="inlineStr">
        <is>
          <t>超过二层及以上无电梯或电梯不准运输，材料搬运费及垃圾清运费另加合计费的2%；五层及以上无电梯或电梯不准运输，材料搬运费及垃圾清运费另加3% .（注：含有电梯但不准运输）以此类推。</t>
        </is>
      </c>
      <c r="C164" s="145" t="n"/>
      <c r="D164" s="145" t="n"/>
      <c r="E164" s="145" t="n"/>
      <c r="F164" s="145" t="n"/>
      <c r="G164" s="145" t="n"/>
      <c r="H164" s="145" t="n"/>
      <c r="I164" s="146" t="n"/>
      <c r="J164" s="118" t="n"/>
      <c r="K164" s="119" t="n"/>
      <c r="L164" s="119" t="n"/>
    </row>
    <row r="165" ht="16.5" customFormat="1" customHeight="1" s="5">
      <c r="A165" s="40" t="n">
        <v>7</v>
      </c>
      <c r="B165" s="135" t="inlineStr">
        <is>
          <t>业主交纳工程款时，必须见到带有本公司财务公章的正规收据，否则本公司有权不予认可</t>
        </is>
      </c>
      <c r="C165" s="145" t="n"/>
      <c r="D165" s="145" t="n"/>
      <c r="E165" s="145" t="n"/>
      <c r="F165" s="145" t="n"/>
      <c r="G165" s="145" t="n"/>
      <c r="H165" s="145" t="n"/>
      <c r="I165" s="146" t="n"/>
      <c r="J165" s="118" t="n"/>
      <c r="K165" s="119" t="n"/>
      <c r="L165" s="119" t="n"/>
    </row>
    <row r="166" ht="16" customFormat="1" customHeight="1" s="5">
      <c r="A166" s="40" t="n">
        <v>8</v>
      </c>
      <c r="B166" s="135" t="inlineStr">
        <is>
          <t>施工过程中，如果业主装修项目有违反建筑装饰施工条例的项目，本公司有权拒绝施工。(如甲方强制要求施工，本公司不予保修及承担任何责任）</t>
        </is>
      </c>
      <c r="C166" s="145" t="n"/>
      <c r="D166" s="145" t="n"/>
      <c r="E166" s="145" t="n"/>
      <c r="F166" s="145" t="n"/>
      <c r="G166" s="145" t="n"/>
      <c r="H166" s="145" t="n"/>
      <c r="I166" s="146" t="n"/>
      <c r="J166" s="118" t="n"/>
      <c r="K166" s="119" t="n"/>
      <c r="L166" s="119" t="n"/>
    </row>
    <row r="167" ht="16" customFormat="1" customHeight="1" s="5">
      <c r="A167" s="40" t="n">
        <v>9</v>
      </c>
      <c r="B167" s="135" t="inlineStr">
        <is>
          <t>注：本报价中增加项目及水电项目未含以下项目不打折的费用，结算时应予以加上。</t>
        </is>
      </c>
      <c r="C167" s="145" t="n"/>
      <c r="D167" s="145" t="n"/>
      <c r="E167" s="145" t="n"/>
      <c r="F167" s="145" t="n"/>
      <c r="G167" s="145" t="n"/>
      <c r="H167" s="145" t="n"/>
      <c r="I167" s="146" t="n"/>
      <c r="J167" s="118" t="n"/>
      <c r="K167" s="119" t="n"/>
      <c r="L167" s="119" t="n"/>
    </row>
    <row r="168" ht="15.75" customFormat="1" customHeight="1" s="18">
      <c r="A168" s="136" t="n"/>
      <c r="B168" s="137" t="inlineStr">
        <is>
          <t>业主：　　　　　审核：　　　　　　设计师：　　　　　　施工图：　　　　　效果图：　　　　　报价：</t>
        </is>
      </c>
      <c r="J168" s="138" t="n"/>
      <c r="K168" s="138" t="n"/>
      <c r="L168" s="138" t="n"/>
    </row>
  </sheetData>
  <mergeCells count="31">
    <mergeCell ref="C158:I158"/>
    <mergeCell ref="H6:H7"/>
    <mergeCell ref="B159:I159"/>
    <mergeCell ref="B165:I165"/>
    <mergeCell ref="B95:E95"/>
    <mergeCell ref="C4:C7"/>
    <mergeCell ref="B167:I167"/>
    <mergeCell ref="G4:H5"/>
    <mergeCell ref="B161:I161"/>
    <mergeCell ref="G6:G7"/>
    <mergeCell ref="E6:E7"/>
    <mergeCell ref="B46:E46"/>
    <mergeCell ref="B166:I166"/>
    <mergeCell ref="B133:G133"/>
    <mergeCell ref="D4:D7"/>
    <mergeCell ref="B162:I162"/>
    <mergeCell ref="A3:K3"/>
    <mergeCell ref="A2:H2"/>
    <mergeCell ref="B168:I168"/>
    <mergeCell ref="B127:I127"/>
    <mergeCell ref="A4:A7"/>
    <mergeCell ref="B8:E8"/>
    <mergeCell ref="I4:I7"/>
    <mergeCell ref="E4:F5"/>
    <mergeCell ref="B4:B7"/>
    <mergeCell ref="B164:I164"/>
    <mergeCell ref="A1:I1"/>
    <mergeCell ref="B78:E78"/>
    <mergeCell ref="B160:I160"/>
    <mergeCell ref="F6:F7"/>
    <mergeCell ref="B163:I163"/>
  </mergeCells>
  <pageMargins left="0.275" right="0.07777777777777781" top="0.235416666666667" bottom="0.0388888888888889" header="0.829861111111111" footer="0.235416666666667"/>
  <pageSetup orientation="landscape" paperSize="9"/>
  <headerFooter scaleWithDoc="0" alignWithMargins="0">
    <oddHeader/>
    <oddFooter>&amp;C&amp;"Times New Roman"&amp;12 第 &amp;P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2002-06-15T02:54:00Z</dcterms:created>
  <dcterms:modified xsi:type="dcterms:W3CDTF">2026-07-12T15:31:16Z</dcterms:modified>
  <cp:lastModifiedBy>Admin（无密码）</cp:lastModifiedBy>
  <cp:revision>1</cp:revision>
  <cp:lastPrinted>2018-07-15T03:46:00Z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2052-12.1.0.26899</vt:lpwstr>
  </property>
  <property name="ICV" fmtid="{D5CDD505-2E9C-101B-9397-08002B2CF9AE}" pid="3">
    <vt:lpwstr>0735085390924D56B04DBE2AA26B728F</vt:lpwstr>
  </property>
  <property name="CalculationRule" fmtid="{D5CDD505-2E9C-101B-9397-08002B2CF9AE}" pid="4">
    <vt:i4>0</vt:i4>
  </property>
</Properties>
</file>