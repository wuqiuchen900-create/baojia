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definedNames>
    <definedName name="_xlnm.Print_Area" localSheetId="0">'2019报价'!$A$1:$I$190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<sst xmlns="http://schemas.openxmlformats.org/spreadsheetml/2006/main" count="498" uniqueCount="245">
  <si>
    <t xml:space="preserve">                                                                                      广东帝豪装饰集团巴中分公司（工程预算单）
</t>
  </si>
  <si>
    <t xml:space="preserve">工程名称：半山逸城2期12-101苟先生            </t>
  </si>
  <si>
    <t>公司地址:巴中市黄家沟居然之家四楼2-4-009号                                        电话:0827-3888300</t>
  </si>
  <si>
    <t>序号</t>
  </si>
  <si>
    <t>项目内容</t>
  </si>
  <si>
    <t>数量</t>
  </si>
  <si>
    <t>单位</t>
  </si>
  <si>
    <t>材料</t>
  </si>
  <si>
    <t>人工</t>
  </si>
  <si>
    <t>施工工艺及材料说明</t>
  </si>
  <si>
    <t>单价</t>
  </si>
  <si>
    <t>合价</t>
  </si>
  <si>
    <t>一</t>
  </si>
  <si>
    <t>客厅、餐厅及阳台</t>
  </si>
  <si>
    <t>窗帘盒</t>
  </si>
  <si>
    <t>M</t>
  </si>
  <si>
    <t>欧松板、石膏板、辅料、人工及机具费。</t>
  </si>
  <si>
    <t>石膏板平面天花</t>
  </si>
  <si>
    <t>M²</t>
  </si>
  <si>
    <t>木龙骨或轻钢龙骨框架结构、膨胀螺丝固定、纸面石膏板封面（以展开面积计算)、乳胶漆另计</t>
  </si>
  <si>
    <t>造型天花</t>
  </si>
  <si>
    <t>M²</t>
  </si>
  <si>
    <t>木龙骨或轻钢龙骨框架，造型位置夹板框架、纸面石膏板封面(以展开面积计算)、弧型处夹板衬底、乳胶漆另计。</t>
  </si>
  <si>
    <t xml:space="preserve"> </t>
  </si>
  <si>
    <t>天花虚光灯槽</t>
  </si>
  <si>
    <t>欧松板打底石膏板封面，辅料、人工及机具费。</t>
  </si>
  <si>
    <t>50-60MM优质艺术石膏线</t>
  </si>
  <si>
    <t>1、普通艺术石膏线、快粘粉粘贴、直钉固定。2、人工及机具费。</t>
  </si>
  <si>
    <t>80MM优质艺术石膏线</t>
  </si>
  <si>
    <t>艺术石膏线刷漆</t>
  </si>
  <si>
    <t>石膏线或PU角线刷漆</t>
  </si>
  <si>
    <t>客厅及餐厅正铺地砖（300-800MM）</t>
  </si>
  <si>
    <t>１、强度32.5MPa普通硅酸盐水泥、水泥沙浆铺设等辅料及人工工资。2、地砖、水泥、砂浆厚度超过4CM按找平另计。（地砖业主自购）</t>
  </si>
  <si>
    <t>勾缝处理</t>
  </si>
  <si>
    <t>人工、辅料及瓷砖缝清洗</t>
  </si>
  <si>
    <t>造型基层</t>
  </si>
  <si>
    <t>M²</t>
  </si>
  <si>
    <t>木龙骨框架结构，膨胀螺丝固定，欧松板封面刷防潮油、人工及机具费。（***业主自购）</t>
  </si>
  <si>
    <t>墙顶面基层加固</t>
  </si>
  <si>
    <t>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</si>
  <si>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</si>
  <si>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</si>
  <si>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</si>
  <si>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</si>
  <si>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</si>
  <si>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</si>
  <si>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</si>
  <si>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</si>
  <si>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</si>
  <si>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</si>
  <si>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</si>
  <si>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</si>
  <si>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</si>
  <si>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</si>
  <si>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</si>
  <si>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</si>
  <si>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</si>
  <si>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</si>
  <si>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</si>
  <si>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</si>
  <si>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</si>
  <si>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</si>
  <si>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</si>
  <si>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1、德高防水（柔性）、高度300MM。2、人工及机具费</t>
  </si>
  <si>
    <t>三</t>
  </si>
  <si>
    <t>公卫</t>
  </si>
  <si>
    <t>德高防水（柔性）,人工及机具费</t>
  </si>
  <si>
    <t>地面防水保护层</t>
  </si>
  <si>
    <t>水泥、沙对已完工防水工程表面覆盖保护，厚度3-5公分</t>
  </si>
  <si>
    <t>墙面防水层</t>
  </si>
  <si>
    <t>1、墙面清理干净。2、德高防水（钢性）。3、人工及机具费</t>
  </si>
  <si>
    <t>四</t>
  </si>
  <si>
    <t>主卧</t>
  </si>
  <si>
    <t>地面找平</t>
  </si>
  <si>
    <t>1、原地面清理、强度325MPa普通硅酸盐水、中沙水泥沙浆抹平、原地面水平放线、凸筋处理。2、找平厚度如超过4CM按双面计算、人工及机具费</t>
  </si>
  <si>
    <t>五</t>
  </si>
  <si>
    <t>主卫</t>
  </si>
  <si>
    <t>1、双面瓷片加工内边成直角拼接。2、人工及机具费。(如门套内需碰角另计)</t>
  </si>
  <si>
    <t>六</t>
  </si>
  <si>
    <t>次卧一</t>
  </si>
  <si>
    <t>飘窗大理石铺贴</t>
  </si>
  <si>
    <t>1、含水泥、沙等辅料。2、人工及机具费（大理石业主自购）</t>
  </si>
  <si>
    <t>七</t>
  </si>
  <si>
    <t>次卧二</t>
  </si>
  <si>
    <t>八</t>
  </si>
  <si>
    <t>外阳台</t>
  </si>
  <si>
    <t>正铺地砖（300-800MM）</t>
  </si>
  <si>
    <t>M²</t>
  </si>
  <si>
    <t>花园地面硬化</t>
  </si>
  <si>
    <r>
      <rPr>
        <sz val="10"/>
        <rFont val="Times New Roman"/>
        <charset val="134"/>
      </rPr>
      <t>1</t>
    </r>
    <r>
      <rPr>
        <sz val="10"/>
        <rFont val="宋体"/>
        <charset val="134"/>
      </rPr>
      <t>、地面素土夯实。2、回填碎石。3、植钢筋网Φ8，间距15-20公分，填筑C30混凝土，厚度8-10公分。</t>
    </r>
  </si>
  <si>
    <t>水泥地台</t>
  </si>
  <si>
    <t>人工、水泥、砖、混泥土结构</t>
  </si>
  <si>
    <t>自粘防水卷材</t>
  </si>
  <si>
    <t>1、蜀羊牌自粘防水卷材、厚度2MM、冷油、墙面开槽处理。墙面卷起高度80公分，2、人工及机具费。</t>
  </si>
  <si>
    <t>卷材防水保护层</t>
  </si>
  <si>
    <t>阳台砌花池</t>
  </si>
  <si>
    <t>含水泥、沙、砖等材料及人工工资，花池高度600MM。（含墙面批档）</t>
  </si>
  <si>
    <t>花池防水处理</t>
  </si>
  <si>
    <t>1、西牛易涂型防水（柔性）或德高防水。2、人工及机具费</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</si>
  <si>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</si>
  <si>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</si>
  <si>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</si>
  <si>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</si>
  <si>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</si>
  <si>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</si>
  <si>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</si>
  <si>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</si>
  <si>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</si>
  <si>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</si>
  <si>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</si>
  <si>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</si>
  <si>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</si>
  <si>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</si>
  <si>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</si>
  <si>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</si>
  <si>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</si>
  <si>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</si>
  <si>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</si>
  <si>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</si>
  <si>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</si>
  <si>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</si>
  <si>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</si>
  <si>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</si>
  <si>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</si>
  <si>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</si>
  <si>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</si>
  <si>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</si>
  <si>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</si>
  <si>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</si>
  <si>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</si>
  <si>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</si>
  <si>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</si>
  <si>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</si>
  <si>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</si>
  <si>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</si>
  <si>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</si>
  <si>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</si>
  <si>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</si>
  <si>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</si>
  <si>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</si>
  <si>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</si>
  <si>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</si>
  <si>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</si>
  <si>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</si>
  <si>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</si>
  <si>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沉箱架空处理</t>
  </si>
  <si>
    <t>水泥瓷砖预制板及人工架空处理、人工及机具费(瓷砖业主自购)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</si>
  <si>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</si>
  <si>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</si>
  <si>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</si>
  <si>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</si>
  <si>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</si>
  <si>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</si>
  <si>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</si>
  <si>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复式或者别墅另加700元/套</t>
  </si>
  <si>
    <t>地漏安装</t>
  </si>
  <si>
    <t>水泥、沙、等辅料及人工安装费（地漏四周走边）。</t>
  </si>
  <si>
    <t>墙面修补</t>
  </si>
  <si>
    <t>1、门洞、边角及后期墙面损坏修补（包人工，水泥，沙）</t>
  </si>
  <si>
    <t>新建门洞(90CM内)</t>
  </si>
  <si>
    <t>1、钢筋、悬空处理、水泥、沙等辅料。2、人工及机具费</t>
  </si>
  <si>
    <t>现浇楼板</t>
  </si>
  <si>
    <r>
      <rPr>
        <sz val="10"/>
        <rFont val="Times New Roman"/>
        <charset val="134"/>
      </rPr>
      <t>1</t>
    </r>
    <r>
      <rPr>
        <sz val="10"/>
        <rFont val="宋体"/>
        <charset val="134"/>
      </rPr>
      <t>、</t>
    </r>
    <r>
      <rPr>
        <sz val="10"/>
        <rFont val="Times New Roman"/>
        <charset val="134"/>
      </rPr>
      <t>10MM</t>
    </r>
    <r>
      <rPr>
        <sz val="10"/>
        <rFont val="宋体"/>
        <charset val="134"/>
      </rPr>
      <t>螺纹钢主筋，</t>
    </r>
    <r>
      <rPr>
        <sz val="10"/>
        <rFont val="Times New Roman"/>
        <charset val="134"/>
      </rPr>
      <t>6MM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</si>
  <si>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中央空调风口加固</t>
  </si>
  <si>
    <t>中央空调出风口及入风口加固</t>
  </si>
  <si>
    <t>墙体拆除</t>
  </si>
  <si>
    <t>1、32CM以上墙体或是混凝土墙另计</t>
  </si>
  <si>
    <t>阳台大理石挡水边</t>
  </si>
  <si>
    <t>１、含水泥、沙、白水泥等辅料。2、人工及机具费（大理石业主自购）。</t>
  </si>
  <si>
    <t>淋浴基石安装</t>
  </si>
  <si>
    <t>１、含水泥、沙、砖、白水泥等辅料。2、人工及机具费（大理石业主自购）。</t>
  </si>
  <si>
    <t>烟道瓷片防脱落处理</t>
  </si>
  <si>
    <t>水泥、沙、砖、铁丝网。人工及机具费。（贴瓷片另计）</t>
  </si>
  <si>
    <t>蹲厕安装</t>
  </si>
  <si>
    <t>1、水泥、沙、等辅料及人工安装费。2、蹲厕及下水业主自购</t>
  </si>
  <si>
    <t>地固漆</t>
  </si>
  <si>
    <t>广东帝豪装饰专用西牛牌地固漆或德高地固漆、防潮、人工及机具费。</t>
  </si>
  <si>
    <t>砌墙（12分）</t>
  </si>
  <si>
    <t>1、水泥、沙、砖等辅料及人工工资。（不含墙面批档）</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</si>
  <si>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</si>
  <si>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</si>
  <si>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</si>
  <si>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</si>
  <si>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</si>
  <si>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</si>
  <si>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</si>
  <si>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</si>
  <si>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</si>
  <si>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</si>
  <si>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</si>
  <si>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</si>
  <si>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</si>
  <si>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</si>
  <si>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</si>
  <si>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</si>
  <si>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</si>
  <si>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</si>
  <si>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</si>
  <si>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</si>
  <si>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</si>
  <si>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</si>
  <si>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</si>
  <si>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</si>
  <si>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</si>
  <si>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</si>
  <si>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</si>
  <si>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</si>
  <si>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</si>
  <si>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</si>
  <si>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</si>
  <si>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</si>
  <si>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</si>
  <si>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</si>
  <si>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</si>
  <si>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</si>
  <si>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</si>
  <si>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</si>
  <si>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</si>
  <si>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</si>
  <si>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</si>
  <si>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</si>
  <si>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顶面白灰铲除</t>
  </si>
  <si>
    <t>人工及机具费(墙面如有白灰需铲除的需另加3元/㎡)</t>
  </si>
  <si>
    <t>成品保护</t>
  </si>
  <si>
    <t>专用保护膜、辅料及人工</t>
  </si>
  <si>
    <t>暗装预埋花洒</t>
  </si>
  <si>
    <t>1、开槽，管件预埋、2、人工及机具费</t>
  </si>
  <si>
    <t>暗装预埋水箱</t>
  </si>
  <si>
    <t>1、开槽，水箱预埋、2、人工及机具费</t>
  </si>
  <si>
    <t>墙面防裂网</t>
  </si>
  <si>
    <t>M²</t>
  </si>
  <si>
    <t>墙面挂网、人工</t>
  </si>
  <si>
    <t>拆构造柱</t>
  </si>
  <si>
    <t>编织袋装袋及人工</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</si>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</sst>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3">
    <font>
      <sz val="12"/>
      <name val="宋体"/>
      <charset val="134"/>
    </font>
    <font>
      <sz val="10"/>
      <color theme="1"/>
      <name val="宋体"/>
      <charset val="134"/>
    </font>
    <font>
      <sz val="10"/>
      <name val="宋体"/>
      <charset val="134"/>
    </font>
    <font>
      <sz val="11"/>
      <name val="宋体"/>
      <charset val="134"/>
    </font>
    <font>
      <b/>
      <sz val="11"/>
      <color indexed="55"/>
      <name val="宋体"/>
      <charset val="134"/>
    </font>
    <font>
      <sz val="11"/>
      <color theme="1"/>
      <name val="宋体"/>
      <charset val="134"/>
    </font>
    <font>
      <sz val="12"/>
      <color indexed="8"/>
      <name val="宋体"/>
      <charset val="134"/>
    </font>
    <font>
      <sz val="12"/>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sz val="8"/>
      <name val="宋体"/>
      <charset val="134"/>
    </font>
    <font>
      <sz val="9"/>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b/>
      <sz val="12"/>
      <color rgb="FF000000"/>
      <name val="宋体"/>
      <charset val="134"/>
    </font>
    <font>
      <sz val="10"/>
      <name val="Times New Roman"/>
      <charset val="134"/>
    </font>
    <font>
      <sz val="9"/>
      <color theme="1"/>
      <name val="新宋体"/>
      <charset val="134"/>
    </font>
    <font>
      <b/>
      <sz val="9"/>
      <name val="新宋体"/>
      <charset val="134"/>
    </font>
    <font>
      <sz val="11"/>
      <color indexed="8"/>
      <name val="新宋体"/>
      <charset val="134"/>
    </font>
    <font>
      <sz val="10"/>
      <color indexed="8"/>
      <name val="新宋体"/>
      <charset val="134"/>
    </font>
    <font>
      <sz val="9"/>
      <name val="新宋体"/>
      <charset val="134"/>
    </font>
    <font>
      <sz val="10"/>
      <color indexed="8"/>
      <name val="宋体"/>
      <charset val="134"/>
    </font>
    <font>
      <sz val="11"/>
      <color indexed="8"/>
      <name val="宋体"/>
      <charset val="134"/>
    </font>
    <font>
      <sz val="12"/>
      <color indexed="8"/>
      <name val="新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theme="1"/>
      <name val="新宋体"/>
      <charset val="134"/>
    </font>
    <font>
      <vertAlign val="superscript"/>
      <sz val="11"/>
      <name val="新宋体"/>
      <charset val="134"/>
    </font>
    <font>
      <vertAlign val="superscript"/>
      <sz val="11"/>
      <name val="宋体"/>
      <charset val="134"/>
    </font>
    <font>
      <vertAlign val="superscript"/>
      <sz val="11"/>
      <color indexed="8"/>
      <name val="宋体"/>
      <charset val="134"/>
    </font>
    <font>
      <vertAlign val="superscript"/>
      <sz val="10"/>
      <color theme="1"/>
      <name val="新宋体"/>
      <charset val="134"/>
    </font>
  </fonts>
  <fills count="35">
    <fill>
      <patternFill patternType="none"/>
    </fill>
    <fill>
      <patternFill patternType="gray125"/>
    </fill>
    <fill>
      <patternFill patternType="solid">
        <fgColor indexed="9"/>
        <bgColor indexed="64"/>
      </patternFill>
    </fill>
    <fill>
      <patternFill patternType="solid">
        <fgColor theme="0" tint="-0.2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4" borderId="16"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17" applyNumberFormat="0" applyFill="0" applyAlignment="0" applyProtection="0">
      <alignment vertical="center"/>
    </xf>
    <xf numFmtId="0" fontId="41" fillId="0" borderId="17" applyNumberFormat="0" applyFill="0" applyAlignment="0" applyProtection="0">
      <alignment vertical="center"/>
    </xf>
    <xf numFmtId="0" fontId="42" fillId="0" borderId="18" applyNumberFormat="0" applyFill="0" applyAlignment="0" applyProtection="0">
      <alignment vertical="center"/>
    </xf>
    <xf numFmtId="0" fontId="42" fillId="0" borderId="0" applyNumberFormat="0" applyFill="0" applyBorder="0" applyAlignment="0" applyProtection="0">
      <alignment vertical="center"/>
    </xf>
    <xf numFmtId="0" fontId="43" fillId="5" borderId="19" applyNumberFormat="0" applyAlignment="0" applyProtection="0">
      <alignment vertical="center"/>
    </xf>
    <xf numFmtId="0" fontId="44" fillId="6" borderId="20" applyNumberFormat="0" applyAlignment="0" applyProtection="0">
      <alignment vertical="center"/>
    </xf>
    <xf numFmtId="0" fontId="45" fillId="6" borderId="19" applyNumberFormat="0" applyAlignment="0" applyProtection="0">
      <alignment vertical="center"/>
    </xf>
    <xf numFmtId="0" fontId="46" fillId="7" borderId="21" applyNumberFormat="0" applyAlignment="0" applyProtection="0">
      <alignment vertical="center"/>
    </xf>
    <xf numFmtId="0" fontId="47" fillId="0" borderId="22" applyNumberFormat="0" applyFill="0" applyAlignment="0" applyProtection="0">
      <alignment vertical="center"/>
    </xf>
    <xf numFmtId="0" fontId="48" fillId="0" borderId="23" applyNumberFormat="0" applyFill="0" applyAlignment="0" applyProtection="0">
      <alignment vertical="center"/>
    </xf>
    <xf numFmtId="0" fontId="49" fillId="8" borderId="0" applyNumberFormat="0" applyBorder="0" applyAlignment="0" applyProtection="0">
      <alignment vertical="center"/>
    </xf>
    <xf numFmtId="0" fontId="50" fillId="9" borderId="0" applyNumberFormat="0" applyBorder="0" applyAlignment="0" applyProtection="0">
      <alignment vertical="center"/>
    </xf>
    <xf numFmtId="0" fontId="51" fillId="10" borderId="0" applyNumberFormat="0" applyBorder="0" applyAlignment="0" applyProtection="0">
      <alignment vertical="center"/>
    </xf>
    <xf numFmtId="0" fontId="52" fillId="11" borderId="0" applyNumberFormat="0" applyBorder="0" applyAlignment="0" applyProtection="0">
      <alignment vertical="center"/>
    </xf>
    <xf numFmtId="0" fontId="53" fillId="12" borderId="0" applyNumberFormat="0" applyBorder="0" applyAlignment="0" applyProtection="0">
      <alignment vertical="center"/>
    </xf>
    <xf numFmtId="0" fontId="53" fillId="13" borderId="0" applyNumberFormat="0" applyBorder="0" applyAlignment="0" applyProtection="0">
      <alignment vertical="center"/>
    </xf>
    <xf numFmtId="0" fontId="52" fillId="14" borderId="0" applyNumberFormat="0" applyBorder="0" applyAlignment="0" applyProtection="0">
      <alignment vertical="center"/>
    </xf>
    <xf numFmtId="0" fontId="52" fillId="15" borderId="0" applyNumberFormat="0" applyBorder="0" applyAlignment="0" applyProtection="0">
      <alignment vertical="center"/>
    </xf>
    <xf numFmtId="0" fontId="53" fillId="16" borderId="0" applyNumberFormat="0" applyBorder="0" applyAlignment="0" applyProtection="0">
      <alignment vertical="center"/>
    </xf>
    <xf numFmtId="0" fontId="53" fillId="17" borderId="0" applyNumberFormat="0" applyBorder="0" applyAlignment="0" applyProtection="0">
      <alignment vertical="center"/>
    </xf>
    <xf numFmtId="0" fontId="52" fillId="18" borderId="0" applyNumberFormat="0" applyBorder="0" applyAlignment="0" applyProtection="0">
      <alignment vertical="center"/>
    </xf>
    <xf numFmtId="0" fontId="52" fillId="19" borderId="0" applyNumberFormat="0" applyBorder="0" applyAlignment="0" applyProtection="0">
      <alignment vertical="center"/>
    </xf>
    <xf numFmtId="0" fontId="53" fillId="20" borderId="0" applyNumberFormat="0" applyBorder="0" applyAlignment="0" applyProtection="0">
      <alignment vertical="center"/>
    </xf>
    <xf numFmtId="0" fontId="53" fillId="21" borderId="0" applyNumberFormat="0" applyBorder="0" applyAlignment="0" applyProtection="0">
      <alignment vertical="center"/>
    </xf>
    <xf numFmtId="0" fontId="52" fillId="22" borderId="0" applyNumberFormat="0" applyBorder="0" applyAlignment="0" applyProtection="0">
      <alignment vertical="center"/>
    </xf>
    <xf numFmtId="0" fontId="52" fillId="23" borderId="0" applyNumberFormat="0" applyBorder="0" applyAlignment="0" applyProtection="0">
      <alignment vertical="center"/>
    </xf>
    <xf numFmtId="0" fontId="53" fillId="24" borderId="0" applyNumberFormat="0" applyBorder="0" applyAlignment="0" applyProtection="0">
      <alignment vertical="center"/>
    </xf>
    <xf numFmtId="0" fontId="53" fillId="25" borderId="0" applyNumberFormat="0" applyBorder="0" applyAlignment="0" applyProtection="0">
      <alignment vertical="center"/>
    </xf>
    <xf numFmtId="0" fontId="52" fillId="26" borderId="0" applyNumberFormat="0" applyBorder="0" applyAlignment="0" applyProtection="0">
      <alignment vertical="center"/>
    </xf>
    <xf numFmtId="0" fontId="52" fillId="27" borderId="0" applyNumberFormat="0" applyBorder="0" applyAlignment="0" applyProtection="0">
      <alignment vertical="center"/>
    </xf>
    <xf numFmtId="0" fontId="53" fillId="28" borderId="0" applyNumberFormat="0" applyBorder="0" applyAlignment="0" applyProtection="0">
      <alignment vertical="center"/>
    </xf>
    <xf numFmtId="0" fontId="53" fillId="29" borderId="0" applyNumberFormat="0" applyBorder="0" applyAlignment="0" applyProtection="0">
      <alignment vertical="center"/>
    </xf>
    <xf numFmtId="0" fontId="52" fillId="30" borderId="0" applyNumberFormat="0" applyBorder="0" applyAlignment="0" applyProtection="0">
      <alignment vertical="center"/>
    </xf>
    <xf numFmtId="0" fontId="52" fillId="31" borderId="0" applyNumberFormat="0" applyBorder="0" applyAlignment="0" applyProtection="0">
      <alignment vertical="center"/>
    </xf>
    <xf numFmtId="0" fontId="53" fillId="32" borderId="0" applyNumberFormat="0" applyBorder="0" applyAlignment="0" applyProtection="0">
      <alignment vertical="center"/>
    </xf>
    <xf numFmtId="0" fontId="53" fillId="33" borderId="0" applyNumberFormat="0" applyBorder="0" applyAlignment="0" applyProtection="0">
      <alignment vertical="center"/>
    </xf>
    <xf numFmtId="0" fontId="52" fillId="34" borderId="0" applyNumberFormat="0" applyBorder="0" applyAlignment="0" applyProtection="0">
      <alignment vertical="center"/>
    </xf>
    <xf numFmtId="0" fontId="54" fillId="0" borderId="0"/>
    <xf numFmtId="0" fontId="54" fillId="0" borderId="0"/>
    <xf numFmtId="176"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176" fontId="0" fillId="0" borderId="0" applyFont="0" applyFill="0" applyBorder="0" applyAlignment="0" applyProtection="0"/>
    <xf numFmtId="0" fontId="55" fillId="0" borderId="5">
      <alignment horizontal="center"/>
    </xf>
    <xf numFmtId="0" fontId="56" fillId="0" borderId="24" applyNumberFormat="0" applyAlignment="0" applyProtection="0">
      <alignment horizontal="left" vertical="center"/>
    </xf>
    <xf numFmtId="0" fontId="56" fillId="0" borderId="14">
      <alignment horizontal="left" vertical="center"/>
    </xf>
    <xf numFmtId="0" fontId="57" fillId="0" borderId="0"/>
    <xf numFmtId="0" fontId="0" fillId="0" borderId="0"/>
    <xf numFmtId="43" fontId="0" fillId="0" borderId="0" applyFont="0" applyFill="0" applyBorder="0" applyAlignment="0" applyProtection="0"/>
  </cellStyleXfs>
  <cellXfs count="169">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2" fillId="0" borderId="3" xfId="0" applyFont="1" applyBorder="1" applyAlignment="1">
      <alignment wrapText="1"/>
    </xf>
    <xf numFmtId="0" fontId="1" fillId="0" borderId="0" xfId="0" applyFont="1" applyAlignment="1">
      <alignment wrapText="1"/>
    </xf>
    <xf numFmtId="0" fontId="3" fillId="0" borderId="4" xfId="0" applyFont="1" applyFill="1" applyBorder="1" applyAlignment="1">
      <alignment wrapText="1"/>
    </xf>
    <xf numFmtId="0" fontId="3" fillId="0" borderId="0" xfId="0" applyFont="1" applyAlignment="1">
      <alignment wrapText="1"/>
    </xf>
    <xf numFmtId="0" fontId="4" fillId="0" borderId="4" xfId="0" applyFont="1" applyFill="1" applyBorder="1" applyAlignment="1">
      <alignment wrapText="1"/>
    </xf>
    <xf numFmtId="0" fontId="5" fillId="0" borderId="0" xfId="0" applyFont="1" applyAlignment="1">
      <alignment wrapText="1"/>
    </xf>
    <xf numFmtId="0" fontId="2" fillId="0" borderId="0" xfId="0" applyFont="1" applyAlignment="1">
      <alignment horizontal="left" vertical="center" wrapText="1"/>
    </xf>
    <xf numFmtId="0" fontId="0" fillId="0" borderId="0" xfId="0" applyAlignment="1">
      <alignment vertical="center"/>
    </xf>
    <xf numFmtId="0" fontId="2" fillId="0" borderId="0" xfId="0" applyFont="1" applyAlignment="1">
      <alignment wrapText="1"/>
    </xf>
    <xf numFmtId="0" fontId="2" fillId="0" borderId="0" xfId="0" applyFont="1" applyAlignment="1">
      <alignment vertical="center"/>
    </xf>
    <xf numFmtId="0" fontId="6" fillId="2" borderId="0" xfId="0" applyFont="1" applyFill="1"/>
    <xf numFmtId="0" fontId="0" fillId="2" borderId="0" xfId="0" applyFill="1" applyAlignment="1">
      <alignment vertical="center"/>
    </xf>
    <xf numFmtId="0" fontId="7" fillId="0" borderId="0" xfId="0" applyFont="1"/>
    <xf numFmtId="0" fontId="3" fillId="2" borderId="0" xfId="0" applyFont="1" applyFill="1" applyAlignment="1">
      <alignment wrapText="1"/>
    </xf>
    <xf numFmtId="0" fontId="3" fillId="2" borderId="3" xfId="0" applyFont="1" applyFill="1" applyBorder="1" applyAlignment="1">
      <alignment wrapText="1"/>
    </xf>
    <xf numFmtId="0" fontId="0" fillId="2" borderId="0" xfId="0" applyFill="1"/>
    <xf numFmtId="0" fontId="2" fillId="0" borderId="4" xfId="0" applyFont="1" applyBorder="1" applyAlignment="1">
      <alignment wrapText="1"/>
    </xf>
    <xf numFmtId="0" fontId="3" fillId="0" borderId="0" xfId="0" applyFont="1" applyAlignment="1">
      <alignment horizontal="center" vertical="center" wrapText="1"/>
    </xf>
    <xf numFmtId="0" fontId="2" fillId="0" borderId="0" xfId="0" applyFont="1" applyAlignment="1">
      <alignment horizontal="left" wrapText="1"/>
    </xf>
    <xf numFmtId="0" fontId="3" fillId="0" borderId="0" xfId="0" applyFont="1" applyAlignment="1">
      <alignment horizontal="center" wrapText="1"/>
    </xf>
    <xf numFmtId="0" fontId="3" fillId="0" borderId="0" xfId="0" applyFont="1" applyAlignment="1">
      <alignment horizontal="right" vertical="center" wrapText="1"/>
    </xf>
    <xf numFmtId="0" fontId="8" fillId="0" borderId="0" xfId="0" applyFont="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xf>
    <xf numFmtId="31" fontId="10" fillId="0" borderId="0" xfId="0" applyNumberFormat="1" applyFont="1" applyAlignment="1">
      <alignment horizontal="center" vertical="center"/>
    </xf>
    <xf numFmtId="0" fontId="9" fillId="0" borderId="0" xfId="0" applyFont="1"/>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2" fillId="0" borderId="0" xfId="0" applyFont="1" applyAlignment="1">
      <alignment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0" fillId="0" borderId="3" xfId="0" applyFont="1" applyBorder="1" applyAlignment="1">
      <alignment horizontal="left"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3"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3" fillId="0" borderId="3" xfId="0" applyFont="1" applyBorder="1" applyAlignment="1">
      <alignment horizontal="left" vertical="center" wrapText="1"/>
    </xf>
    <xf numFmtId="0" fontId="15" fillId="0" borderId="3" xfId="0" applyFont="1" applyBorder="1" applyAlignment="1">
      <alignment vertical="center" wrapText="1"/>
    </xf>
    <xf numFmtId="0" fontId="5"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12" xfId="0" applyFont="1" applyBorder="1" applyAlignment="1">
      <alignment vertical="center" wrapText="1"/>
    </xf>
    <xf numFmtId="0" fontId="16" fillId="0" borderId="0" xfId="0" applyFont="1" applyBorder="1" applyAlignment="1">
      <alignment wrapText="1"/>
    </xf>
    <xf numFmtId="0" fontId="1" fillId="0" borderId="0" xfId="0" applyFont="1" applyBorder="1" applyAlignment="1">
      <alignment wrapText="1"/>
    </xf>
    <xf numFmtId="0" fontId="1" fillId="0" borderId="13" xfId="0" applyFont="1" applyBorder="1" applyAlignment="1">
      <alignment wrapText="1"/>
    </xf>
    <xf numFmtId="0" fontId="12" fillId="0" borderId="12" xfId="0" applyFont="1" applyBorder="1" applyAlignment="1">
      <alignment vertical="center" wrapText="1"/>
    </xf>
    <xf numFmtId="0" fontId="12" fillId="0" borderId="0" xfId="0" applyFont="1" applyBorder="1" applyAlignment="1">
      <alignment wrapText="1"/>
    </xf>
    <xf numFmtId="0" fontId="2" fillId="0" borderId="0" xfId="0" applyFont="1" applyBorder="1" applyAlignment="1">
      <alignment wrapText="1"/>
    </xf>
    <xf numFmtId="0" fontId="17" fillId="0" borderId="3" xfId="0" applyFont="1" applyBorder="1" applyAlignment="1">
      <alignment vertical="center" wrapText="1"/>
    </xf>
    <xf numFmtId="0" fontId="2" fillId="0" borderId="12" xfId="0" applyFont="1" applyBorder="1" applyAlignment="1">
      <alignment vertical="center" wrapText="1"/>
    </xf>
    <xf numFmtId="0" fontId="2" fillId="0" borderId="13" xfId="0" applyFont="1" applyBorder="1" applyAlignment="1">
      <alignment wrapText="1"/>
    </xf>
    <xf numFmtId="0" fontId="18" fillId="0" borderId="3" xfId="0" applyFont="1" applyBorder="1" applyAlignment="1">
      <alignment vertical="center" wrapText="1"/>
    </xf>
    <xf numFmtId="0" fontId="2" fillId="0" borderId="3" xfId="0" applyFont="1" applyBorder="1" applyAlignment="1">
      <alignment vertical="center" wrapText="1"/>
    </xf>
    <xf numFmtId="0" fontId="16" fillId="0" borderId="3" xfId="0" applyFont="1" applyBorder="1" applyAlignment="1">
      <alignment horizontal="left" vertical="center" wrapText="1"/>
    </xf>
    <xf numFmtId="0" fontId="16" fillId="0" borderId="3" xfId="0" applyFont="1" applyBorder="1" applyAlignment="1">
      <alignment vertical="center" wrapText="1"/>
    </xf>
    <xf numFmtId="0" fontId="16" fillId="0" borderId="0" xfId="0" applyFont="1" applyAlignment="1">
      <alignment wrapText="1"/>
    </xf>
    <xf numFmtId="0" fontId="2" fillId="0" borderId="3" xfId="0" applyFont="1" applyBorder="1" applyAlignment="1">
      <alignment horizontal="left" vertical="center" wrapText="1"/>
    </xf>
    <xf numFmtId="0" fontId="14" fillId="3" borderId="3" xfId="0" applyFont="1" applyFill="1" applyBorder="1" applyAlignment="1">
      <alignment horizontal="center" vertical="center" wrapText="1"/>
    </xf>
    <xf numFmtId="0" fontId="13" fillId="3" borderId="3" xfId="0" applyFont="1" applyFill="1" applyBorder="1" applyAlignment="1">
      <alignment horizontal="left" vertical="center" wrapText="1"/>
    </xf>
    <xf numFmtId="0" fontId="12" fillId="3" borderId="3" xfId="0" applyFont="1" applyFill="1" applyBorder="1" applyAlignment="1">
      <alignment vertical="center" wrapText="1"/>
    </xf>
    <xf numFmtId="0" fontId="14" fillId="0"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2" borderId="3" xfId="0" applyFont="1" applyFill="1" applyBorder="1" applyAlignment="1">
      <alignment vertical="center"/>
    </xf>
    <xf numFmtId="0" fontId="14" fillId="0" borderId="0" xfId="0" applyFont="1" applyAlignment="1">
      <alignment wrapText="1"/>
    </xf>
    <xf numFmtId="0" fontId="19" fillId="3" borderId="3" xfId="0" applyFont="1" applyFill="1" applyBorder="1" applyAlignment="1">
      <alignment horizontal="center" vertical="center" wrapText="1"/>
    </xf>
    <xf numFmtId="0" fontId="20" fillId="3" borderId="3" xfId="0" applyFont="1" applyFill="1" applyBorder="1" applyAlignment="1">
      <alignment horizontal="left" vertical="center" wrapText="1"/>
    </xf>
    <xf numFmtId="0" fontId="21" fillId="3" borderId="3" xfId="0" applyFont="1" applyFill="1" applyBorder="1" applyAlignment="1">
      <alignment horizontal="center" vertical="center" wrapText="1"/>
    </xf>
    <xf numFmtId="0" fontId="22" fillId="3" borderId="3" xfId="0" applyFont="1" applyFill="1" applyBorder="1" applyAlignment="1">
      <alignment horizontal="center" vertical="center" wrapText="1"/>
    </xf>
    <xf numFmtId="0" fontId="23" fillId="3" borderId="3" xfId="0" applyFont="1" applyFill="1" applyBorder="1" applyAlignment="1">
      <alignment vertical="center" wrapText="1"/>
    </xf>
    <xf numFmtId="0" fontId="19" fillId="0" borderId="4" xfId="0" applyFont="1" applyFill="1" applyBorder="1" applyAlignment="1">
      <alignment wrapText="1"/>
    </xf>
    <xf numFmtId="0" fontId="10" fillId="0" borderId="12" xfId="0" applyFont="1" applyBorder="1" applyAlignment="1">
      <alignment horizontal="left" vertical="center" wrapText="1"/>
    </xf>
    <xf numFmtId="0" fontId="10" fillId="0" borderId="14" xfId="0" applyFont="1" applyBorder="1" applyAlignment="1">
      <alignment horizontal="left" vertical="center" wrapText="1"/>
    </xf>
    <xf numFmtId="0" fontId="10" fillId="0" borderId="13" xfId="0" applyFont="1" applyBorder="1" applyAlignment="1">
      <alignment horizontal="left" vertical="center" wrapText="1"/>
    </xf>
    <xf numFmtId="0" fontId="15" fillId="0" borderId="0" xfId="0" applyFont="1" applyAlignment="1">
      <alignment wrapText="1"/>
    </xf>
    <xf numFmtId="0" fontId="16" fillId="0" borderId="13" xfId="0" applyFont="1" applyBorder="1" applyAlignment="1">
      <alignment wrapText="1"/>
    </xf>
    <xf numFmtId="0" fontId="16" fillId="0" borderId="3" xfId="0" applyFont="1" applyBorder="1" applyAlignment="1">
      <alignment wrapText="1"/>
    </xf>
    <xf numFmtId="0" fontId="24" fillId="0" borderId="15" xfId="0" applyNumberFormat="1" applyFont="1" applyFill="1" applyBorder="1" applyAlignment="1" applyProtection="1">
      <alignment horizontal="center" vertical="center" wrapText="1"/>
    </xf>
    <xf numFmtId="0" fontId="24" fillId="0" borderId="15" xfId="0" applyNumberFormat="1" applyFont="1" applyFill="1" applyBorder="1" applyAlignment="1" applyProtection="1">
      <alignment horizontal="left" vertical="center" wrapText="1"/>
    </xf>
    <xf numFmtId="0" fontId="12" fillId="0" borderId="0" xfId="0" applyFont="1" applyAlignment="1">
      <alignment horizontal="left" vertical="center" wrapText="1"/>
    </xf>
    <xf numFmtId="0" fontId="3" fillId="0" borderId="15" xfId="0" applyNumberFormat="1" applyFont="1" applyFill="1" applyBorder="1" applyAlignment="1" applyProtection="1">
      <alignment horizontal="center" vertical="center" wrapText="1"/>
    </xf>
    <xf numFmtId="0" fontId="3" fillId="0" borderId="15" xfId="0" applyNumberFormat="1" applyFont="1" applyFill="1" applyBorder="1" applyAlignment="1" applyProtection="1">
      <alignment horizontal="left" vertical="center" wrapText="1"/>
    </xf>
    <xf numFmtId="0" fontId="2" fillId="0" borderId="3" xfId="0" applyFont="1" applyBorder="1" applyAlignment="1">
      <alignment vertical="center"/>
    </xf>
    <xf numFmtId="0" fontId="3" fillId="0" borderId="3" xfId="64" applyFont="1" applyBorder="1" applyAlignment="1">
      <alignment horizontal="center" vertical="center" wrapText="1"/>
    </xf>
    <xf numFmtId="0" fontId="3" fillId="0" borderId="3" xfId="0" applyFont="1" applyBorder="1" applyAlignment="1">
      <alignment horizontal="center" vertical="center"/>
    </xf>
    <xf numFmtId="0" fontId="25" fillId="0" borderId="3" xfId="0" applyFont="1" applyBorder="1" applyAlignment="1">
      <alignment vertical="center" wrapText="1"/>
    </xf>
    <xf numFmtId="0" fontId="3" fillId="0" borderId="3" xfId="0" applyFont="1" applyBorder="1" applyAlignment="1">
      <alignment vertical="center"/>
    </xf>
    <xf numFmtId="0" fontId="3" fillId="0" borderId="3" xfId="56" applyFont="1" applyBorder="1" applyAlignment="1">
      <alignment horizontal="left" vertical="center" wrapText="1"/>
    </xf>
    <xf numFmtId="0" fontId="14" fillId="0" borderId="3" xfId="56" applyFont="1" applyBorder="1" applyAlignment="1">
      <alignment horizontal="center" vertical="center" wrapText="1"/>
    </xf>
    <xf numFmtId="0" fontId="3" fillId="0" borderId="3" xfId="56" applyFont="1" applyBorder="1" applyAlignment="1">
      <alignment horizontal="center" vertical="center" wrapText="1"/>
    </xf>
    <xf numFmtId="0" fontId="2" fillId="0" borderId="3" xfId="56" applyFont="1" applyBorder="1" applyAlignment="1">
      <alignment vertical="center" wrapText="1"/>
    </xf>
    <xf numFmtId="0" fontId="3" fillId="0" borderId="0" xfId="56" applyFont="1" applyAlignment="1">
      <alignment wrapText="1"/>
    </xf>
    <xf numFmtId="0" fontId="14" fillId="0" borderId="3" xfId="56" applyFont="1" applyBorder="1" applyAlignment="1">
      <alignment horizontal="left" vertical="center" wrapText="1"/>
    </xf>
    <xf numFmtId="0" fontId="12" fillId="0" borderId="3" xfId="56" applyFont="1" applyBorder="1" applyAlignment="1">
      <alignment vertical="center" wrapText="1"/>
    </xf>
    <xf numFmtId="0" fontId="14" fillId="0" borderId="0" xfId="56" applyFont="1" applyAlignment="1">
      <alignment wrapText="1"/>
    </xf>
    <xf numFmtId="0" fontId="3" fillId="2" borderId="3" xfId="56" applyFont="1" applyFill="1" applyBorder="1" applyAlignment="1">
      <alignment horizontal="left" vertical="center"/>
    </xf>
    <xf numFmtId="0" fontId="3" fillId="2" borderId="3" xfId="56" applyFont="1" applyFill="1" applyBorder="1" applyAlignment="1">
      <alignment horizontal="center" vertical="center"/>
    </xf>
    <xf numFmtId="0" fontId="3" fillId="2" borderId="0" xfId="56" applyFont="1" applyFill="1"/>
    <xf numFmtId="0" fontId="12" fillId="0" borderId="0" xfId="56" applyFont="1" applyAlignment="1">
      <alignment wrapText="1"/>
    </xf>
    <xf numFmtId="0" fontId="13" fillId="0" borderId="12" xfId="0" applyFont="1" applyBorder="1" applyAlignment="1">
      <alignment horizontal="left" vertical="center" wrapText="1"/>
    </xf>
    <xf numFmtId="0" fontId="13" fillId="0" borderId="14" xfId="0" applyFont="1" applyBorder="1" applyAlignment="1">
      <alignment horizontal="left" vertical="center" wrapText="1"/>
    </xf>
    <xf numFmtId="0" fontId="13" fillId="0" borderId="13" xfId="0" applyFont="1" applyBorder="1" applyAlignment="1">
      <alignment horizontal="left" vertical="center" wrapText="1"/>
    </xf>
    <xf numFmtId="0" fontId="26" fillId="0" borderId="3" xfId="0" applyFont="1" applyBorder="1" applyAlignment="1">
      <alignment vertical="center" wrapText="1"/>
    </xf>
    <xf numFmtId="0" fontId="16" fillId="0" borderId="3" xfId="0" applyFont="1" applyBorder="1" applyAlignment="1">
      <alignment horizontal="center" vertical="center" wrapText="1"/>
    </xf>
    <xf numFmtId="0" fontId="14" fillId="2" borderId="3" xfId="0" applyFont="1" applyFill="1" applyBorder="1" applyAlignment="1">
      <alignment horizontal="center" vertical="center"/>
    </xf>
    <xf numFmtId="0" fontId="12" fillId="2" borderId="3" xfId="0" applyFont="1" applyFill="1" applyBorder="1" applyAlignment="1">
      <alignment horizontal="left" vertical="center"/>
    </xf>
    <xf numFmtId="0" fontId="12" fillId="0" borderId="0" xfId="0" applyFont="1" applyAlignment="1">
      <alignment vertical="center"/>
    </xf>
    <xf numFmtId="0" fontId="27" fillId="0" borderId="3" xfId="0" applyFont="1" applyBorder="1" applyAlignment="1">
      <alignment horizontal="center" vertical="center" wrapText="1"/>
    </xf>
    <xf numFmtId="0" fontId="28" fillId="2" borderId="3" xfId="0" applyFont="1" applyFill="1" applyBorder="1" applyAlignment="1">
      <alignment horizontal="left" vertical="center" wrapText="1"/>
    </xf>
    <xf numFmtId="0" fontId="28" fillId="2" borderId="3" xfId="0" applyFont="1" applyFill="1" applyBorder="1" applyAlignment="1">
      <alignment horizontal="center" vertical="center" wrapText="1"/>
    </xf>
    <xf numFmtId="0" fontId="29" fillId="2" borderId="3" xfId="0" applyFont="1" applyFill="1" applyBorder="1" applyAlignment="1">
      <alignment vertical="center" wrapText="1"/>
    </xf>
    <xf numFmtId="0" fontId="29" fillId="2" borderId="0" xfId="0" applyFont="1" applyFill="1" applyAlignment="1">
      <alignment wrapText="1"/>
    </xf>
    <xf numFmtId="0" fontId="30" fillId="0" borderId="3" xfId="0" applyFont="1" applyBorder="1" applyAlignment="1">
      <alignment vertical="center" wrapText="1"/>
    </xf>
    <xf numFmtId="0" fontId="12" fillId="2" borderId="3" xfId="0" applyFont="1" applyFill="1" applyBorder="1" applyAlignment="1">
      <alignment vertical="center" wrapText="1"/>
    </xf>
    <xf numFmtId="0" fontId="9" fillId="2" borderId="0" xfId="0" applyFont="1" applyFill="1" applyAlignment="1">
      <alignment vertical="center"/>
    </xf>
    <xf numFmtId="0" fontId="26" fillId="0" borderId="3" xfId="0" applyFont="1" applyBorder="1" applyAlignment="1">
      <alignment horizontal="left" vertical="center" wrapText="1"/>
    </xf>
    <xf numFmtId="0" fontId="31" fillId="2" borderId="3" xfId="0" applyFont="1" applyFill="1" applyBorder="1" applyAlignment="1">
      <alignment horizontal="left" vertical="center" wrapText="1"/>
    </xf>
    <xf numFmtId="0" fontId="32" fillId="2" borderId="3" xfId="0" applyFont="1" applyFill="1" applyBorder="1" applyAlignment="1">
      <alignment horizontal="center" vertical="center" wrapText="1"/>
    </xf>
    <xf numFmtId="0" fontId="31" fillId="2" borderId="3" xfId="0" applyFont="1" applyFill="1" applyBorder="1" applyAlignment="1">
      <alignment horizontal="center" vertical="center" wrapText="1"/>
    </xf>
    <xf numFmtId="0" fontId="31" fillId="2" borderId="3" xfId="0" applyFont="1" applyFill="1" applyBorder="1" applyAlignment="1">
      <alignment vertical="center" wrapText="1"/>
    </xf>
    <xf numFmtId="0" fontId="30" fillId="0" borderId="3" xfId="0" applyFont="1" applyBorder="1" applyAlignment="1">
      <alignment horizontal="left" vertical="center" wrapText="1"/>
    </xf>
    <xf numFmtId="0" fontId="28" fillId="2" borderId="3" xfId="0" applyFont="1" applyFill="1" applyBorder="1" applyAlignment="1">
      <alignment vertical="center"/>
    </xf>
    <xf numFmtId="0" fontId="28" fillId="2" borderId="3" xfId="0" applyFont="1" applyFill="1" applyBorder="1" applyAlignment="1">
      <alignment horizontal="center" vertical="center"/>
    </xf>
    <xf numFmtId="0" fontId="29" fillId="2" borderId="3" xfId="0" applyFont="1" applyFill="1" applyBorder="1" applyAlignment="1">
      <alignment horizontal="left" vertical="center" wrapText="1"/>
    </xf>
    <xf numFmtId="0" fontId="33" fillId="2" borderId="0" xfId="0" applyFont="1" applyFill="1"/>
    <xf numFmtId="177" fontId="14" fillId="0" borderId="3" xfId="0" applyNumberFormat="1" applyFont="1" applyBorder="1" applyAlignment="1">
      <alignment horizontal="center" vertical="center" wrapText="1"/>
    </xf>
    <xf numFmtId="177" fontId="14" fillId="3" borderId="3" xfId="0" applyNumberFormat="1" applyFont="1" applyFill="1" applyBorder="1" applyAlignment="1">
      <alignment horizontal="center" vertical="center" wrapText="1"/>
    </xf>
    <xf numFmtId="0" fontId="14" fillId="3" borderId="3" xfId="0" applyFont="1" applyFill="1" applyBorder="1" applyAlignment="1">
      <alignment vertical="center" wrapText="1"/>
    </xf>
    <xf numFmtId="0" fontId="14" fillId="2" borderId="3" xfId="0" applyFont="1" applyFill="1" applyBorder="1" applyAlignment="1">
      <alignment horizontal="center" vertical="center" wrapText="1"/>
    </xf>
    <xf numFmtId="0" fontId="13" fillId="2" borderId="12" xfId="0" applyFont="1" applyFill="1" applyBorder="1" applyAlignment="1">
      <alignment horizontal="left" vertical="center" wrapText="1"/>
    </xf>
    <xf numFmtId="0" fontId="13" fillId="2" borderId="14" xfId="0" applyFont="1" applyFill="1" applyBorder="1" applyAlignment="1">
      <alignment horizontal="left" vertical="center" wrapText="1"/>
    </xf>
    <xf numFmtId="0" fontId="13" fillId="2" borderId="13" xfId="0" applyFont="1" applyFill="1" applyBorder="1" applyAlignment="1">
      <alignment horizontal="left" vertical="center" wrapText="1"/>
    </xf>
    <xf numFmtId="0" fontId="14" fillId="2"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3" fillId="2" borderId="3" xfId="0" applyFont="1" applyFill="1" applyBorder="1" applyAlignment="1">
      <alignment horizontal="left" vertical="center" wrapText="1"/>
    </xf>
    <xf numFmtId="178" fontId="13" fillId="2" borderId="3" xfId="0" applyNumberFormat="1" applyFont="1" applyFill="1" applyBorder="1" applyAlignment="1">
      <alignment horizontal="center" vertical="center" wrapText="1"/>
    </xf>
    <xf numFmtId="177" fontId="13" fillId="2" borderId="3" xfId="0" applyNumberFormat="1" applyFont="1" applyFill="1" applyBorder="1" applyAlignment="1">
      <alignment horizontal="center" vertical="center" wrapText="1"/>
    </xf>
    <xf numFmtId="178" fontId="14" fillId="2" borderId="12" xfId="0" applyNumberFormat="1" applyFont="1" applyFill="1" applyBorder="1" applyAlignment="1">
      <alignment vertical="center" wrapText="1"/>
    </xf>
    <xf numFmtId="0" fontId="14" fillId="2" borderId="0" xfId="0" applyFont="1" applyFill="1" applyBorder="1" applyAlignment="1">
      <alignment wrapText="1"/>
    </xf>
    <xf numFmtId="0" fontId="3" fillId="2" borderId="0" xfId="0" applyFont="1" applyFill="1" applyBorder="1" applyAlignment="1">
      <alignment wrapText="1"/>
    </xf>
    <xf numFmtId="0" fontId="3" fillId="2" borderId="13" xfId="0" applyFont="1" applyFill="1" applyBorder="1" applyAlignment="1">
      <alignment wrapText="1"/>
    </xf>
    <xf numFmtId="0" fontId="14" fillId="0" borderId="12"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2" borderId="12" xfId="0" applyNumberFormat="1" applyFont="1" applyFill="1" applyBorder="1" applyAlignment="1">
      <alignment vertical="center" wrapText="1"/>
    </xf>
    <xf numFmtId="0" fontId="3" fillId="2" borderId="12" xfId="0" applyFont="1" applyFill="1" applyBorder="1" applyAlignment="1">
      <alignment wrapText="1"/>
    </xf>
    <xf numFmtId="0" fontId="3" fillId="2" borderId="3" xfId="0" applyFont="1" applyFill="1" applyBorder="1"/>
    <xf numFmtId="0" fontId="2" fillId="2" borderId="3" xfId="0" applyFont="1" applyFill="1" applyBorder="1" applyAlignment="1">
      <alignment horizontal="center" vertical="center"/>
    </xf>
    <xf numFmtId="0" fontId="2" fillId="2" borderId="3" xfId="0" applyFont="1" applyFill="1" applyBorder="1"/>
    <xf numFmtId="0" fontId="32" fillId="2"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9" fillId="0" borderId="12" xfId="0" applyFont="1" applyBorder="1" applyAlignment="1">
      <alignment horizontal="center" vertical="center" wrapText="1"/>
    </xf>
    <xf numFmtId="0" fontId="14" fillId="0" borderId="3" xfId="0" applyFont="1" applyBorder="1" applyAlignment="1">
      <alignment vertical="center" wrapText="1"/>
    </xf>
    <xf numFmtId="0" fontId="14" fillId="0" borderId="12"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0]_设备明细表" xfId="52"/>
    <cellStyle name="千位_设备明细表" xfId="53"/>
    <cellStyle name="千分位[0]_广州平安证券" xfId="54"/>
    <cellStyle name="??|?Revenuenuesy L 2" xfId="55"/>
    <cellStyle name="常规 2" xfId="56"/>
    <cellStyle name="??|?Revenuenuesy L 3" xfId="57"/>
    <cellStyle name="常规 3" xfId="58"/>
    <cellStyle name="??|?Revenuenuesy L 4"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O190"/>
  <sheetViews>
    <sheetView tabSelected="1" zoomScale="130" zoomScaleNormal="130" topLeftCell="A92" workbookViewId="0">
      <selection activeCell="H15" sqref="H15"/>
    </sheetView>
  </sheetViews>
  <sheetFormatPr defaultColWidth="9" defaultRowHeight="21" customHeight="1"/>
  <cols>
    <col min="1" max="1" width="4.08333333333333" style="22" customWidth="1"/>
    <col min="2" max="2" width="16.25" style="23" customWidth="1"/>
    <col min="3" max="3" width="5.58333333333333" style="24" customWidth="1"/>
    <col min="4" max="4" width="4.08333333333333" style="24" customWidth="1"/>
    <col min="5" max="5" width="6.25" style="24" customWidth="1"/>
    <col min="6" max="6" width="7.75" style="25" customWidth="1"/>
    <col min="7" max="7" width="6.25" style="24" customWidth="1"/>
    <col min="8" max="8" width="9.08333333333333" style="25" customWidth="1"/>
    <col min="9" max="9" width="74.5" style="13" customWidth="1"/>
    <col min="10" max="16384" width="9" style="13"/>
  </cols>
  <sheetData>
    <row r="1" s="1" customFormat="1" ht="44.25" customHeight="1" spans="1:169">
      <c r="A1" s="26" t="s">
        <v>0</v>
      </c>
      <c r="B1" s="26"/>
      <c r="C1" s="26"/>
      <c r="D1" s="26"/>
      <c r="E1" s="26"/>
      <c r="F1" s="26"/>
      <c r="G1" s="26"/>
      <c r="H1" s="26"/>
      <c r="I1" s="26"/>
      <c r="J1" s="27"/>
      <c r="K1" s="27"/>
      <c r="L1" s="27"/>
      <c r="M1" s="28"/>
      <c r="N1" s="28"/>
      <c r="O1" s="28"/>
      <c r="P1" s="28"/>
      <c r="Q1" s="28"/>
      <c r="R1" s="28"/>
      <c r="S1" s="28"/>
      <c r="T1" s="28"/>
      <c r="U1" s="28"/>
      <c r="V1" s="28"/>
      <c r="W1" s="28"/>
      <c r="X1" s="28"/>
      <c r="Y1" s="28"/>
      <c r="Z1" s="28"/>
      <c r="AA1" s="28"/>
      <c r="AB1" s="28"/>
      <c r="AC1" s="28"/>
      <c r="AD1" s="28"/>
      <c r="AE1" s="28"/>
      <c r="AF1" s="28"/>
      <c r="AG1" s="28"/>
      <c r="AH1" s="28"/>
      <c r="AI1" s="28"/>
      <c r="AJ1" s="28"/>
      <c r="AK1" s="28"/>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c r="BU1" s="28"/>
      <c r="BV1" s="28"/>
      <c r="BW1" s="28"/>
      <c r="BX1" s="28"/>
      <c r="BY1" s="28"/>
      <c r="BZ1" s="28"/>
      <c r="CA1" s="28"/>
      <c r="CB1" s="28"/>
      <c r="CC1" s="28"/>
      <c r="CD1" s="28"/>
      <c r="CE1" s="28"/>
      <c r="CF1" s="28"/>
      <c r="CG1" s="28"/>
      <c r="CH1" s="28"/>
      <c r="CI1" s="28"/>
      <c r="CJ1" s="28"/>
      <c r="CK1" s="28"/>
      <c r="CL1" s="28"/>
      <c r="CM1" s="28"/>
      <c r="CN1" s="28"/>
      <c r="CO1" s="28"/>
      <c r="CP1" s="28"/>
      <c r="CQ1" s="28"/>
      <c r="CR1" s="28"/>
      <c r="CS1" s="28"/>
      <c r="CT1" s="28"/>
      <c r="CU1" s="28"/>
      <c r="CV1" s="28"/>
      <c r="CW1" s="28"/>
      <c r="CX1" s="28"/>
      <c r="CY1" s="28"/>
      <c r="CZ1" s="28"/>
      <c r="DA1" s="28"/>
      <c r="DB1" s="28"/>
      <c r="DC1" s="28"/>
      <c r="DD1" s="28"/>
      <c r="DE1" s="28"/>
      <c r="DF1" s="28"/>
      <c r="DG1" s="28"/>
      <c r="DH1" s="28"/>
      <c r="DI1" s="28"/>
      <c r="DJ1" s="28"/>
      <c r="DK1" s="28"/>
      <c r="DL1" s="28"/>
      <c r="DM1" s="28"/>
      <c r="DN1" s="28"/>
      <c r="DO1" s="28"/>
      <c r="DP1" s="28"/>
      <c r="DQ1" s="28"/>
      <c r="DR1" s="28"/>
      <c r="DS1" s="28"/>
      <c r="DT1" s="28"/>
      <c r="DU1" s="28"/>
      <c r="DV1" s="28"/>
      <c r="DW1" s="28"/>
      <c r="DX1" s="28"/>
      <c r="DY1" s="28"/>
      <c r="DZ1" s="28"/>
      <c r="EA1" s="28"/>
      <c r="EB1" s="28"/>
      <c r="EC1" s="28"/>
      <c r="ED1" s="28"/>
      <c r="EE1" s="28"/>
      <c r="EF1" s="28"/>
      <c r="EG1" s="28"/>
      <c r="EH1" s="28"/>
      <c r="EI1" s="28"/>
      <c r="EJ1" s="28"/>
      <c r="EK1" s="28"/>
      <c r="EL1" s="28"/>
      <c r="EM1" s="28"/>
      <c r="EN1" s="28"/>
      <c r="EO1" s="28"/>
      <c r="EP1" s="28"/>
      <c r="EQ1" s="28"/>
      <c r="ER1" s="28"/>
      <c r="ES1" s="28"/>
      <c r="ET1" s="28"/>
      <c r="EU1" s="28"/>
      <c r="EV1" s="28"/>
      <c r="EW1" s="28"/>
      <c r="EX1" s="28"/>
      <c r="EY1" s="28"/>
      <c r="EZ1" s="28"/>
      <c r="FA1" s="28"/>
      <c r="FB1" s="28"/>
      <c r="FC1" s="28"/>
      <c r="FD1" s="28"/>
      <c r="FE1" s="28"/>
      <c r="FF1" s="28"/>
      <c r="FG1" s="28"/>
      <c r="FH1" s="28"/>
      <c r="FI1" s="28"/>
      <c r="FJ1" s="28"/>
      <c r="FK1" s="28"/>
      <c r="FL1" s="28"/>
      <c r="FM1" s="28"/>
    </row>
    <row r="2" s="2" customFormat="1" ht="17.15" customHeight="1" spans="1:169">
      <c r="A2" s="29" t="s">
        <v>1</v>
      </c>
      <c r="B2" s="29"/>
      <c r="C2" s="29"/>
      <c r="D2" s="29"/>
      <c r="E2" s="29"/>
      <c r="F2" s="29"/>
      <c r="G2" s="29"/>
      <c r="H2" s="29"/>
      <c r="I2" s="30">
        <v>44677</v>
      </c>
      <c r="J2" s="31"/>
      <c r="K2" s="31"/>
      <c r="L2" s="31"/>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29" t="s">
        <v>2</v>
      </c>
      <c r="B3" s="29"/>
      <c r="C3" s="29"/>
      <c r="D3" s="29"/>
      <c r="E3" s="29"/>
      <c r="F3" s="29"/>
      <c r="G3" s="29"/>
      <c r="H3" s="29"/>
      <c r="I3" s="29"/>
      <c r="J3" s="29"/>
      <c r="K3" s="29"/>
      <c r="L3" s="31"/>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2" t="s">
        <v>3</v>
      </c>
      <c r="B4" s="32" t="s">
        <v>4</v>
      </c>
      <c r="C4" s="32" t="s">
        <v>5</v>
      </c>
      <c r="D4" s="32" t="s">
        <v>6</v>
      </c>
      <c r="E4" s="33" t="s">
        <v>7</v>
      </c>
      <c r="F4" s="34"/>
      <c r="G4" s="33" t="s">
        <v>8</v>
      </c>
      <c r="H4" s="34"/>
      <c r="I4" s="32" t="s">
        <v>9</v>
      </c>
      <c r="J4" s="35"/>
      <c r="K4" s="35"/>
      <c r="L4" s="35"/>
    </row>
    <row r="5" ht="9.75" customHeight="1" spans="1:169">
      <c r="A5" s="36"/>
      <c r="B5" s="36"/>
      <c r="C5" s="36"/>
      <c r="D5" s="36"/>
      <c r="E5" s="37"/>
      <c r="F5" s="38"/>
      <c r="G5" s="37"/>
      <c r="H5" s="38"/>
      <c r="I5" s="36"/>
      <c r="J5" s="35"/>
      <c r="K5" s="35"/>
      <c r="L5" s="35"/>
    </row>
    <row r="6" ht="8.25" customHeight="1" spans="1:169">
      <c r="A6" s="36"/>
      <c r="B6" s="36"/>
      <c r="C6" s="36"/>
      <c r="D6" s="36"/>
      <c r="E6" s="32" t="s">
        <v>10</v>
      </c>
      <c r="F6" s="32" t="s">
        <v>11</v>
      </c>
      <c r="G6" s="32" t="s">
        <v>10</v>
      </c>
      <c r="H6" s="32" t="s">
        <v>11</v>
      </c>
      <c r="I6" s="36"/>
      <c r="J6" s="35"/>
      <c r="K6" s="35"/>
      <c r="L6" s="35"/>
    </row>
    <row r="7" ht="8.25" customHeight="1" spans="1:169">
      <c r="A7" s="39"/>
      <c r="B7" s="39"/>
      <c r="C7" s="39"/>
      <c r="D7" s="39"/>
      <c r="E7" s="39"/>
      <c r="F7" s="39"/>
      <c r="G7" s="39"/>
      <c r="H7" s="39"/>
      <c r="I7" s="39"/>
      <c r="J7" s="35"/>
      <c r="K7" s="35"/>
      <c r="L7" s="35"/>
    </row>
    <row r="8" ht="16.5" customHeight="1" spans="1:169">
      <c r="A8" s="40" t="s">
        <v>12</v>
      </c>
      <c r="B8" s="41" t="s">
        <v>13</v>
      </c>
      <c r="C8" s="41"/>
      <c r="D8" s="41"/>
      <c r="E8" s="41"/>
      <c r="F8" s="42"/>
      <c r="G8" s="42"/>
      <c r="H8" s="42"/>
      <c r="I8" s="43"/>
      <c r="J8" s="35"/>
      <c r="K8" s="35"/>
      <c r="L8" s="35"/>
    </row>
    <row r="9" ht="15" customHeight="1" spans="1:169">
      <c r="A9" s="44">
        <v>1</v>
      </c>
      <c r="B9" s="45" t="s">
        <v>14</v>
      </c>
      <c r="C9" s="42"/>
      <c r="D9" s="42" t="s">
        <v>15</v>
      </c>
      <c r="E9" s="42">
        <v>70</v>
      </c>
      <c r="F9" s="42">
        <f t="shared" ref="F9:F24" si="0">C9*E9</f>
        <v>0</v>
      </c>
      <c r="G9" s="46">
        <v>25</v>
      </c>
      <c r="H9" s="42">
        <f t="shared" ref="H9:H11" si="1">SUM(G9*C9)</f>
        <v>0</v>
      </c>
      <c r="I9" s="47" t="s">
        <v>16</v>
      </c>
      <c r="J9" s="35"/>
      <c r="K9" s="35"/>
      <c r="L9" s="35"/>
    </row>
    <row r="10" ht="17" customHeight="1" spans="1:169">
      <c r="A10" s="44">
        <v>2</v>
      </c>
      <c r="B10" s="48" t="s">
        <v>17</v>
      </c>
      <c r="C10" s="44"/>
      <c r="D10" s="42" t="s">
        <v>18</v>
      </c>
      <c r="E10" s="44">
        <v>95</v>
      </c>
      <c r="F10" s="42">
        <f t="shared" si="0"/>
        <v>0</v>
      </c>
      <c r="G10" s="44">
        <v>55</v>
      </c>
      <c r="H10" s="42">
        <f t="shared" si="1"/>
        <v>0</v>
      </c>
      <c r="I10" s="43" t="s">
        <v>19</v>
      </c>
    </row>
    <row r="11" s="4" customFormat="1" ht="26.25" customHeight="1" spans="1:169">
      <c r="A11" s="44">
        <v>3</v>
      </c>
      <c r="B11" s="49" t="s">
        <v>20</v>
      </c>
      <c r="C11" s="50"/>
      <c r="D11" s="51" t="s">
        <v>21</v>
      </c>
      <c r="E11" s="51">
        <v>125</v>
      </c>
      <c r="F11" s="51">
        <f t="shared" si="0"/>
        <v>0</v>
      </c>
      <c r="G11" s="51">
        <v>65</v>
      </c>
      <c r="H11" s="51">
        <f t="shared" si="1"/>
        <v>0</v>
      </c>
      <c r="I11" s="52" t="s">
        <v>22</v>
      </c>
      <c r="J11" s="53"/>
      <c r="K11" s="53"/>
      <c r="L11" s="53" t="s">
        <v>23</v>
      </c>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AL11" s="55"/>
    </row>
    <row r="12" ht="16.5" customHeight="1" spans="1:169">
      <c r="A12" s="44">
        <v>4</v>
      </c>
      <c r="B12" s="45" t="s">
        <v>24</v>
      </c>
      <c r="C12" s="42"/>
      <c r="D12" s="42" t="s">
        <v>15</v>
      </c>
      <c r="E12" s="42">
        <v>38</v>
      </c>
      <c r="F12" s="42">
        <f t="shared" si="0"/>
        <v>0</v>
      </c>
      <c r="G12" s="42">
        <v>22</v>
      </c>
      <c r="H12" s="42">
        <f>C12*G12</f>
        <v>0</v>
      </c>
      <c r="I12" s="56" t="s">
        <v>25</v>
      </c>
      <c r="J12" s="57"/>
      <c r="K12" s="57"/>
      <c r="L12" s="57"/>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row>
    <row r="13" s="5" customFormat="1" ht="17.25" customHeight="1" spans="1:169">
      <c r="A13" s="44">
        <v>5</v>
      </c>
      <c r="B13" s="59" t="s">
        <v>26</v>
      </c>
      <c r="C13" s="42"/>
      <c r="D13" s="44" t="s">
        <v>15</v>
      </c>
      <c r="E13" s="44">
        <v>14</v>
      </c>
      <c r="F13" s="42">
        <f t="shared" si="0"/>
        <v>0</v>
      </c>
      <c r="G13" s="44">
        <v>8</v>
      </c>
      <c r="H13" s="42">
        <f>C13*G13</f>
        <v>0</v>
      </c>
      <c r="I13" s="60" t="s">
        <v>27</v>
      </c>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61"/>
    </row>
    <row r="14" s="5" customFormat="1" ht="17.25" customHeight="1" spans="1:169">
      <c r="A14" s="44">
        <v>6</v>
      </c>
      <c r="B14" s="62" t="s">
        <v>28</v>
      </c>
      <c r="C14" s="42"/>
      <c r="D14" s="44" t="s">
        <v>15</v>
      </c>
      <c r="E14" s="44">
        <v>16</v>
      </c>
      <c r="F14" s="42">
        <f t="shared" si="0"/>
        <v>0</v>
      </c>
      <c r="G14" s="44">
        <v>10</v>
      </c>
      <c r="H14" s="42">
        <f>C14*G14</f>
        <v>0</v>
      </c>
      <c r="I14" s="60" t="s">
        <v>27</v>
      </c>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61"/>
    </row>
    <row r="15" ht="17.25" customHeight="1" spans="1:169">
      <c r="A15" s="44">
        <v>7</v>
      </c>
      <c r="B15" s="63" t="s">
        <v>29</v>
      </c>
      <c r="C15" s="42"/>
      <c r="D15" s="44" t="s">
        <v>15</v>
      </c>
      <c r="E15" s="44">
        <v>4</v>
      </c>
      <c r="F15" s="42">
        <f t="shared" si="0"/>
        <v>0</v>
      </c>
      <c r="G15" s="44">
        <v>6.5</v>
      </c>
      <c r="H15" s="42">
        <f>C15*G15</f>
        <v>0</v>
      </c>
      <c r="I15" s="63" t="s">
        <v>30</v>
      </c>
    </row>
    <row r="16" s="6" customFormat="1" ht="25" customHeight="1" spans="1:169">
      <c r="A16" s="44">
        <v>8</v>
      </c>
      <c r="B16" s="64" t="s">
        <v>31</v>
      </c>
      <c r="C16" s="51"/>
      <c r="D16" s="51" t="s">
        <v>21</v>
      </c>
      <c r="E16" s="51">
        <v>28</v>
      </c>
      <c r="F16" s="51">
        <f t="shared" si="0"/>
        <v>0</v>
      </c>
      <c r="G16" s="51">
        <v>32</v>
      </c>
      <c r="H16" s="51">
        <f>C16*G16</f>
        <v>0</v>
      </c>
      <c r="I16" s="65" t="s">
        <v>32</v>
      </c>
      <c r="J16" s="66"/>
      <c r="K16" s="66"/>
      <c r="L16" s="66"/>
    </row>
    <row r="17" ht="16.5" customHeight="1" spans="1:12">
      <c r="A17" s="44">
        <v>9</v>
      </c>
      <c r="B17" s="45" t="s">
        <v>33</v>
      </c>
      <c r="C17" s="42"/>
      <c r="D17" s="42" t="s">
        <v>18</v>
      </c>
      <c r="E17" s="42">
        <v>0</v>
      </c>
      <c r="F17" s="42">
        <f t="shared" si="0"/>
        <v>0</v>
      </c>
      <c r="G17" s="42">
        <v>2.5</v>
      </c>
      <c r="H17" s="42">
        <f>SUM(G17*C17)</f>
        <v>0</v>
      </c>
      <c r="I17" s="43" t="s">
        <v>34</v>
      </c>
      <c r="J17" s="35"/>
      <c r="K17" s="35"/>
      <c r="L17" s="35"/>
    </row>
    <row r="18" ht="16.5" customHeight="1" spans="1:12">
      <c r="A18" s="44">
        <v>10</v>
      </c>
      <c r="B18" s="67" t="s">
        <v>35</v>
      </c>
      <c r="C18" s="44"/>
      <c r="D18" s="44" t="s">
        <v>36</v>
      </c>
      <c r="E18" s="44">
        <v>135</v>
      </c>
      <c r="F18" s="42">
        <f t="shared" si="0"/>
        <v>0</v>
      </c>
      <c r="G18" s="44">
        <v>95</v>
      </c>
      <c r="H18" s="42">
        <f>SUM(G18*C18)</f>
        <v>0</v>
      </c>
      <c r="I18" s="63" t="s">
        <v>37</v>
      </c>
    </row>
    <row r="19" ht="16.5" customHeight="1" spans="1:12">
      <c r="A19" s="44">
        <v>11</v>
      </c>
      <c r="B19" s="45" t="s">
        <v>38</v>
      </c>
      <c r="C19" s="42"/>
      <c r="D19" s="44" t="s">
        <v>36</v>
      </c>
      <c r="E19" s="42">
        <v>2</v>
      </c>
      <c r="F19" s="42">
        <f t="shared" si="0"/>
        <v>0</v>
      </c>
      <c r="G19" s="42">
        <v>4</v>
      </c>
      <c r="H19" s="42">
        <f t="shared" ref="H19:H24" si="2">SUM(G19*C19)</f>
        <v>0</v>
      </c>
      <c r="I19" s="43" t="s">
        <v>39</v>
      </c>
      <c r="J19" s="35"/>
      <c r="K19" s="35"/>
      <c r="L19" s="35"/>
    </row>
    <row r="20" ht="27" customHeight="1" spans="1:12">
      <c r="A20" s="44">
        <v>12</v>
      </c>
      <c r="B20" s="45" t="s">
        <v>40</v>
      </c>
      <c r="C20" s="42"/>
      <c r="D20" s="42" t="s">
        <v>18</v>
      </c>
      <c r="E20" s="42">
        <v>19</v>
      </c>
      <c r="F20" s="42">
        <f t="shared" si="0"/>
        <v>0</v>
      </c>
      <c r="G20" s="42">
        <v>13</v>
      </c>
      <c r="H20" s="42">
        <f t="shared" si="2"/>
        <v>0</v>
      </c>
      <c r="I20" s="43" t="s">
        <v>41</v>
      </c>
      <c r="J20" s="35"/>
      <c r="K20" s="35"/>
      <c r="L20" s="35"/>
    </row>
    <row r="21" ht="27" customHeight="1" spans="1:12">
      <c r="A21" s="44">
        <v>13</v>
      </c>
      <c r="B21" s="45" t="s">
        <v>42</v>
      </c>
      <c r="C21" s="42"/>
      <c r="D21" s="42" t="s">
        <v>18</v>
      </c>
      <c r="E21" s="42">
        <v>12</v>
      </c>
      <c r="F21" s="42">
        <f t="shared" si="0"/>
        <v>0</v>
      </c>
      <c r="G21" s="42">
        <v>7</v>
      </c>
      <c r="H21" s="42">
        <f t="shared" si="2"/>
        <v>0</v>
      </c>
      <c r="I21" s="43" t="s">
        <v>43</v>
      </c>
      <c r="J21" s="35"/>
      <c r="K21" s="35"/>
      <c r="L21" s="35"/>
    </row>
    <row r="22" ht="17.15" customHeight="1" spans="1:12">
      <c r="A22" s="44">
        <v>14</v>
      </c>
      <c r="B22" s="45" t="s">
        <v>44</v>
      </c>
      <c r="C22" s="42"/>
      <c r="D22" s="42" t="s">
        <v>45</v>
      </c>
      <c r="E22" s="42">
        <v>160</v>
      </c>
      <c r="F22" s="42">
        <f t="shared" si="0"/>
        <v>0</v>
      </c>
      <c r="G22" s="42">
        <v>360</v>
      </c>
      <c r="H22" s="42">
        <f t="shared" si="2"/>
        <v>0</v>
      </c>
      <c r="I22" s="43" t="s">
        <v>46</v>
      </c>
      <c r="J22" s="35"/>
      <c r="K22" s="35"/>
      <c r="L22" s="35"/>
    </row>
    <row r="23" ht="15" customHeight="1" spans="1:12">
      <c r="A23" s="44">
        <v>15</v>
      </c>
      <c r="B23" s="45" t="s">
        <v>47</v>
      </c>
      <c r="C23" s="42"/>
      <c r="D23" s="42" t="s">
        <v>18</v>
      </c>
      <c r="E23" s="42">
        <v>25</v>
      </c>
      <c r="F23" s="42">
        <f t="shared" si="0"/>
        <v>0</v>
      </c>
      <c r="G23" s="42">
        <v>10</v>
      </c>
      <c r="H23" s="42">
        <f t="shared" si="2"/>
        <v>0</v>
      </c>
      <c r="I23" s="43" t="s">
        <v>48</v>
      </c>
      <c r="J23" s="35"/>
      <c r="K23" s="35"/>
      <c r="L23" s="35"/>
    </row>
    <row r="24" ht="15" customHeight="1" spans="1:12">
      <c r="A24" s="44">
        <v>16</v>
      </c>
      <c r="B24" s="45" t="s">
        <v>49</v>
      </c>
      <c r="C24" s="42"/>
      <c r="D24" s="42" t="s">
        <v>18</v>
      </c>
      <c r="E24" s="42">
        <v>12</v>
      </c>
      <c r="F24" s="42">
        <f t="shared" si="0"/>
        <v>0</v>
      </c>
      <c r="G24" s="42">
        <v>5</v>
      </c>
      <c r="H24" s="42">
        <f t="shared" si="2"/>
        <v>0</v>
      </c>
      <c r="I24" s="43" t="s">
        <v>50</v>
      </c>
      <c r="J24" s="35"/>
      <c r="K24" s="35"/>
      <c r="L24" s="35"/>
    </row>
    <row r="25" s="7" customFormat="1" ht="18" customHeight="1" spans="1:12">
      <c r="A25" s="68"/>
      <c r="B25" s="69" t="s">
        <v>51</v>
      </c>
      <c r="C25" s="68"/>
      <c r="D25" s="68"/>
      <c r="E25" s="68"/>
      <c r="F25" s="68">
        <f>SUM(F9:F24)</f>
        <v>0</v>
      </c>
      <c r="G25" s="68"/>
      <c r="H25" s="68">
        <f>SUM(H9:H24)</f>
        <v>0</v>
      </c>
      <c r="I25" s="70"/>
      <c r="J25" s="71"/>
      <c r="K25" s="71"/>
      <c r="L25" s="71"/>
    </row>
    <row r="26" ht="18" customHeight="1" spans="1:12">
      <c r="A26" s="40" t="s">
        <v>52</v>
      </c>
      <c r="B26" s="72" t="s">
        <v>53</v>
      </c>
      <c r="C26" s="42"/>
      <c r="D26" s="42"/>
      <c r="E26" s="42"/>
      <c r="F26" s="42"/>
      <c r="G26" s="42"/>
      <c r="H26" s="42"/>
      <c r="I26" s="43"/>
      <c r="J26" s="35"/>
      <c r="K26" s="35"/>
      <c r="L26" s="35"/>
    </row>
    <row r="27" s="6" customFormat="1" ht="24" customHeight="1" spans="1:12">
      <c r="A27" s="51">
        <v>1</v>
      </c>
      <c r="B27" s="73" t="s">
        <v>54</v>
      </c>
      <c r="C27" s="51"/>
      <c r="D27" s="51" t="s">
        <v>21</v>
      </c>
      <c r="E27" s="51">
        <v>28</v>
      </c>
      <c r="F27" s="51">
        <f t="shared" ref="F27:F32" si="3">C27*E27</f>
        <v>0</v>
      </c>
      <c r="G27" s="51">
        <v>32</v>
      </c>
      <c r="H27" s="51">
        <f t="shared" ref="H27:H32" si="4">SUM(G27*C27)</f>
        <v>0</v>
      </c>
      <c r="I27" s="65" t="s">
        <v>32</v>
      </c>
      <c r="J27" s="66"/>
      <c r="K27" s="66"/>
      <c r="L27" s="66"/>
    </row>
    <row r="28" s="6" customFormat="1" ht="15" customHeight="1" spans="1:12">
      <c r="A28" s="51">
        <v>2</v>
      </c>
      <c r="B28" s="73" t="s">
        <v>55</v>
      </c>
      <c r="C28" s="51"/>
      <c r="D28" s="51" t="s">
        <v>21</v>
      </c>
      <c r="E28" s="51">
        <v>28</v>
      </c>
      <c r="F28" s="51">
        <f t="shared" si="3"/>
        <v>0</v>
      </c>
      <c r="G28" s="51">
        <v>40</v>
      </c>
      <c r="H28" s="51">
        <f t="shared" si="4"/>
        <v>0</v>
      </c>
      <c r="I28" s="65" t="s">
        <v>56</v>
      </c>
      <c r="J28" s="66"/>
      <c r="K28" s="66"/>
      <c r="L28" s="66"/>
    </row>
    <row r="29" ht="16" customHeight="1" spans="1:12">
      <c r="A29" s="51">
        <v>3</v>
      </c>
      <c r="B29" s="47" t="s">
        <v>57</v>
      </c>
      <c r="C29" s="42"/>
      <c r="D29" s="42" t="s">
        <v>18</v>
      </c>
      <c r="E29" s="42">
        <v>0</v>
      </c>
      <c r="F29" s="42">
        <f t="shared" si="3"/>
        <v>0</v>
      </c>
      <c r="G29" s="42">
        <v>9</v>
      </c>
      <c r="H29" s="42">
        <f t="shared" si="4"/>
        <v>0</v>
      </c>
      <c r="I29" s="43" t="s">
        <v>58</v>
      </c>
      <c r="J29" s="35"/>
      <c r="K29" s="35"/>
      <c r="L29" s="35"/>
    </row>
    <row r="30" s="8" customFormat="1" ht="15" customHeight="1" spans="1:12">
      <c r="A30" s="51">
        <v>4</v>
      </c>
      <c r="B30" s="74" t="s">
        <v>59</v>
      </c>
      <c r="C30" s="42"/>
      <c r="D30" s="42" t="s">
        <v>15</v>
      </c>
      <c r="E30" s="42">
        <v>8</v>
      </c>
      <c r="F30" s="42">
        <f t="shared" si="3"/>
        <v>0</v>
      </c>
      <c r="G30" s="42">
        <v>20</v>
      </c>
      <c r="H30" s="42">
        <f t="shared" si="4"/>
        <v>0</v>
      </c>
      <c r="I30" s="43" t="s">
        <v>60</v>
      </c>
      <c r="J30" s="75"/>
      <c r="K30" s="75"/>
      <c r="L30" s="75"/>
    </row>
    <row r="31" ht="15" customHeight="1" spans="1:12">
      <c r="A31" s="51">
        <v>5</v>
      </c>
      <c r="B31" s="45" t="s">
        <v>33</v>
      </c>
      <c r="C31" s="42"/>
      <c r="D31" s="42" t="s">
        <v>18</v>
      </c>
      <c r="E31" s="42">
        <v>0</v>
      </c>
      <c r="F31" s="42">
        <f t="shared" si="3"/>
        <v>0</v>
      </c>
      <c r="G31" s="42">
        <v>2.5</v>
      </c>
      <c r="H31" s="42">
        <f t="shared" si="4"/>
        <v>0</v>
      </c>
      <c r="I31" s="43" t="s">
        <v>61</v>
      </c>
      <c r="J31" s="35"/>
      <c r="K31" s="35"/>
      <c r="L31" s="35"/>
    </row>
    <row r="32" ht="15" customHeight="1" spans="1:12">
      <c r="A32" s="51">
        <v>6</v>
      </c>
      <c r="B32" s="45" t="s">
        <v>62</v>
      </c>
      <c r="C32" s="42"/>
      <c r="D32" s="42" t="s">
        <v>18</v>
      </c>
      <c r="E32" s="42">
        <v>45</v>
      </c>
      <c r="F32" s="42">
        <f t="shared" si="3"/>
        <v>0</v>
      </c>
      <c r="G32" s="42">
        <v>20</v>
      </c>
      <c r="H32" s="42">
        <f t="shared" si="4"/>
        <v>0</v>
      </c>
      <c r="I32" s="43" t="s">
        <v>63</v>
      </c>
      <c r="J32" s="35"/>
      <c r="K32" s="35"/>
      <c r="L32" s="35"/>
    </row>
    <row r="33" ht="15" customHeight="1" spans="1:12">
      <c r="A33" s="51">
        <v>7</v>
      </c>
      <c r="B33" s="45" t="s">
        <v>49</v>
      </c>
      <c r="C33" s="42"/>
      <c r="D33" s="42" t="s">
        <v>18</v>
      </c>
      <c r="E33" s="42">
        <v>12</v>
      </c>
      <c r="F33" s="42">
        <f t="shared" ref="F33:F42" si="5">C33*E33</f>
        <v>0</v>
      </c>
      <c r="G33" s="42">
        <v>5</v>
      </c>
      <c r="H33" s="42">
        <f t="shared" ref="H33:H42" si="6">SUM(G33*C33)</f>
        <v>0</v>
      </c>
      <c r="I33" s="43" t="s">
        <v>50</v>
      </c>
      <c r="J33" s="35"/>
      <c r="K33" s="35"/>
      <c r="L33" s="35"/>
    </row>
    <row r="34" s="9" customFormat="1" ht="17.25" customHeight="1" spans="1:12">
      <c r="A34" s="76"/>
      <c r="B34" s="77" t="s">
        <v>51</v>
      </c>
      <c r="C34" s="76"/>
      <c r="D34" s="76"/>
      <c r="E34" s="78"/>
      <c r="F34" s="79">
        <f>SUM(F27:F33)</f>
        <v>0</v>
      </c>
      <c r="G34" s="76"/>
      <c r="H34" s="79">
        <f>SUM(H27:H33)</f>
        <v>0</v>
      </c>
      <c r="I34" s="80"/>
      <c r="J34" s="81"/>
      <c r="K34" s="81"/>
      <c r="L34" s="81"/>
    </row>
    <row r="35" ht="17.25" customHeight="1" spans="1:12">
      <c r="A35" s="42" t="s">
        <v>64</v>
      </c>
      <c r="B35" s="72" t="s">
        <v>65</v>
      </c>
      <c r="C35" s="42"/>
      <c r="D35" s="42"/>
      <c r="E35" s="42"/>
      <c r="F35" s="42"/>
      <c r="G35" s="42"/>
      <c r="H35" s="42"/>
      <c r="I35" s="43"/>
      <c r="J35" s="35"/>
      <c r="K35" s="35"/>
      <c r="L35" s="35"/>
    </row>
    <row r="36" s="6" customFormat="1" ht="24" customHeight="1" spans="1:12">
      <c r="A36" s="51">
        <v>1</v>
      </c>
      <c r="B36" s="73" t="s">
        <v>54</v>
      </c>
      <c r="C36" s="51"/>
      <c r="D36" s="51" t="s">
        <v>21</v>
      </c>
      <c r="E36" s="51">
        <v>28</v>
      </c>
      <c r="F36" s="51">
        <f t="shared" si="5"/>
        <v>0</v>
      </c>
      <c r="G36" s="51">
        <v>32</v>
      </c>
      <c r="H36" s="51">
        <f t="shared" si="6"/>
        <v>0</v>
      </c>
      <c r="I36" s="65" t="s">
        <v>32</v>
      </c>
      <c r="J36" s="66"/>
      <c r="K36" s="66"/>
      <c r="L36" s="66"/>
    </row>
    <row r="37" s="6" customFormat="1" ht="14.25" customHeight="1" spans="1:12">
      <c r="A37" s="51">
        <v>2</v>
      </c>
      <c r="B37" s="73" t="s">
        <v>55</v>
      </c>
      <c r="C37" s="51"/>
      <c r="D37" s="51" t="s">
        <v>21</v>
      </c>
      <c r="E37" s="51">
        <v>28</v>
      </c>
      <c r="F37" s="51">
        <f t="shared" si="5"/>
        <v>0</v>
      </c>
      <c r="G37" s="51">
        <v>40</v>
      </c>
      <c r="H37" s="51">
        <f t="shared" si="6"/>
        <v>0</v>
      </c>
      <c r="I37" s="65" t="s">
        <v>56</v>
      </c>
      <c r="J37" s="66"/>
      <c r="K37" s="66"/>
      <c r="L37" s="66"/>
    </row>
    <row r="38" ht="16" customHeight="1" spans="1:12">
      <c r="A38" s="51">
        <v>3</v>
      </c>
      <c r="B38" s="47" t="s">
        <v>57</v>
      </c>
      <c r="C38" s="42"/>
      <c r="D38" s="42" t="s">
        <v>18</v>
      </c>
      <c r="E38" s="42">
        <v>0</v>
      </c>
      <c r="F38" s="42">
        <f t="shared" si="5"/>
        <v>0</v>
      </c>
      <c r="G38" s="42">
        <v>9</v>
      </c>
      <c r="H38" s="42">
        <f t="shared" si="6"/>
        <v>0</v>
      </c>
      <c r="I38" s="43" t="s">
        <v>58</v>
      </c>
      <c r="J38" s="35"/>
      <c r="K38" s="35"/>
      <c r="L38" s="35"/>
    </row>
    <row r="39" s="8" customFormat="1" ht="14.25" customHeight="1" spans="1:12">
      <c r="A39" s="51">
        <v>4</v>
      </c>
      <c r="B39" s="74" t="s">
        <v>59</v>
      </c>
      <c r="C39" s="42"/>
      <c r="D39" s="42" t="s">
        <v>15</v>
      </c>
      <c r="E39" s="42">
        <v>8</v>
      </c>
      <c r="F39" s="42">
        <f t="shared" si="5"/>
        <v>0</v>
      </c>
      <c r="G39" s="42">
        <v>20</v>
      </c>
      <c r="H39" s="42">
        <f t="shared" si="6"/>
        <v>0</v>
      </c>
      <c r="I39" s="43" t="s">
        <v>60</v>
      </c>
      <c r="J39" s="75"/>
      <c r="K39" s="75"/>
      <c r="L39" s="75"/>
    </row>
    <row r="40" ht="14" customHeight="1" spans="1:12">
      <c r="A40" s="51">
        <v>5</v>
      </c>
      <c r="B40" s="45" t="s">
        <v>33</v>
      </c>
      <c r="C40" s="42"/>
      <c r="D40" s="42" t="s">
        <v>18</v>
      </c>
      <c r="E40" s="42"/>
      <c r="F40" s="42">
        <f t="shared" si="5"/>
        <v>0</v>
      </c>
      <c r="G40" s="42">
        <v>2.5</v>
      </c>
      <c r="H40" s="42">
        <f t="shared" si="6"/>
        <v>0</v>
      </c>
      <c r="I40" s="43" t="s">
        <v>61</v>
      </c>
      <c r="J40" s="35"/>
      <c r="K40" s="35"/>
      <c r="L40" s="35"/>
    </row>
    <row r="41" ht="15" customHeight="1" spans="1:12">
      <c r="A41" s="51">
        <v>6</v>
      </c>
      <c r="B41" s="45" t="s">
        <v>62</v>
      </c>
      <c r="C41" s="42"/>
      <c r="D41" s="42" t="s">
        <v>18</v>
      </c>
      <c r="E41" s="42">
        <v>45</v>
      </c>
      <c r="F41" s="42">
        <f t="shared" si="5"/>
        <v>0</v>
      </c>
      <c r="G41" s="42">
        <v>20</v>
      </c>
      <c r="H41" s="42">
        <f t="shared" si="6"/>
        <v>0</v>
      </c>
      <c r="I41" s="43" t="s">
        <v>66</v>
      </c>
      <c r="J41" s="35"/>
      <c r="K41" s="35"/>
      <c r="L41" s="35"/>
    </row>
    <row r="42" ht="14.25" customHeight="1" spans="1:12">
      <c r="A42" s="51">
        <v>7</v>
      </c>
      <c r="B42" s="45" t="s">
        <v>67</v>
      </c>
      <c r="C42" s="42"/>
      <c r="D42" s="42" t="s">
        <v>18</v>
      </c>
      <c r="E42" s="42">
        <v>22</v>
      </c>
      <c r="F42" s="42">
        <f t="shared" si="5"/>
        <v>0</v>
      </c>
      <c r="G42" s="42">
        <v>12</v>
      </c>
      <c r="H42" s="42">
        <f t="shared" si="6"/>
        <v>0</v>
      </c>
      <c r="I42" s="43" t="s">
        <v>68</v>
      </c>
      <c r="J42" s="35"/>
      <c r="K42" s="35"/>
      <c r="L42" s="35"/>
    </row>
    <row r="43" ht="15" customHeight="1" spans="1:12">
      <c r="A43" s="51">
        <v>8</v>
      </c>
      <c r="B43" s="45" t="s">
        <v>69</v>
      </c>
      <c r="C43" s="42"/>
      <c r="D43" s="42" t="s">
        <v>18</v>
      </c>
      <c r="E43" s="42">
        <v>45</v>
      </c>
      <c r="F43" s="42">
        <f t="shared" ref="F43:F53" si="7">C43*E43</f>
        <v>0</v>
      </c>
      <c r="G43" s="42">
        <v>20</v>
      </c>
      <c r="H43" s="42">
        <f t="shared" ref="H43:H53" si="8">SUM(G43*C43)</f>
        <v>0</v>
      </c>
      <c r="I43" s="43" t="s">
        <v>70</v>
      </c>
      <c r="J43" s="35"/>
      <c r="K43" s="35"/>
      <c r="L43" s="35"/>
    </row>
    <row r="44" ht="15" customHeight="1" spans="1:12">
      <c r="A44" s="51">
        <v>9</v>
      </c>
      <c r="B44" s="45" t="s">
        <v>49</v>
      </c>
      <c r="C44" s="42"/>
      <c r="D44" s="42" t="s">
        <v>18</v>
      </c>
      <c r="E44" s="42">
        <v>12</v>
      </c>
      <c r="F44" s="42">
        <f t="shared" si="7"/>
        <v>0</v>
      </c>
      <c r="G44" s="42">
        <v>5</v>
      </c>
      <c r="H44" s="42">
        <f t="shared" si="8"/>
        <v>0</v>
      </c>
      <c r="I44" s="43" t="s">
        <v>50</v>
      </c>
      <c r="J44" s="35"/>
      <c r="K44" s="35"/>
      <c r="L44" s="35"/>
    </row>
    <row r="45" s="7" customFormat="1" ht="18" customHeight="1" spans="1:12">
      <c r="A45" s="68"/>
      <c r="B45" s="69" t="s">
        <v>51</v>
      </c>
      <c r="C45" s="68"/>
      <c r="D45" s="68"/>
      <c r="E45" s="68"/>
      <c r="F45" s="68">
        <f>SUM(F36:F44)</f>
        <v>0</v>
      </c>
      <c r="G45" s="68"/>
      <c r="H45" s="68">
        <f>SUM(H36:H44)</f>
        <v>0</v>
      </c>
      <c r="I45" s="70"/>
      <c r="J45" s="71"/>
      <c r="K45" s="71"/>
      <c r="L45" s="71"/>
    </row>
    <row r="46" ht="18.75" customHeight="1" spans="1:12">
      <c r="A46" s="40" t="s">
        <v>71</v>
      </c>
      <c r="B46" s="82" t="s">
        <v>72</v>
      </c>
      <c r="C46" s="83"/>
      <c r="D46" s="83"/>
      <c r="E46" s="84"/>
      <c r="F46" s="42"/>
      <c r="G46" s="42"/>
      <c r="H46" s="42"/>
      <c r="I46" s="43"/>
      <c r="J46" s="35"/>
      <c r="K46" s="35"/>
      <c r="L46" s="35"/>
    </row>
    <row r="47" s="10" customFormat="1" ht="24" customHeight="1" spans="1:12">
      <c r="A47" s="51">
        <v>1</v>
      </c>
      <c r="B47" s="73" t="s">
        <v>73</v>
      </c>
      <c r="C47" s="51"/>
      <c r="D47" s="51" t="s">
        <v>21</v>
      </c>
      <c r="E47" s="51">
        <v>26</v>
      </c>
      <c r="F47" s="51">
        <f t="shared" si="7"/>
        <v>0</v>
      </c>
      <c r="G47" s="51">
        <v>20</v>
      </c>
      <c r="H47" s="51">
        <f t="shared" si="8"/>
        <v>0</v>
      </c>
      <c r="I47" s="65" t="s">
        <v>74</v>
      </c>
      <c r="J47" s="85"/>
      <c r="K47" s="85"/>
      <c r="L47" s="85"/>
    </row>
    <row r="48" s="6" customFormat="1" ht="15" customHeight="1" spans="1:12">
      <c r="A48" s="51">
        <v>2</v>
      </c>
      <c r="B48" s="45" t="s">
        <v>14</v>
      </c>
      <c r="C48" s="42"/>
      <c r="D48" s="42" t="s">
        <v>15</v>
      </c>
      <c r="E48" s="42">
        <v>70</v>
      </c>
      <c r="F48" s="42">
        <f t="shared" si="7"/>
        <v>0</v>
      </c>
      <c r="G48" s="46">
        <v>25</v>
      </c>
      <c r="H48" s="42">
        <f t="shared" si="8"/>
        <v>0</v>
      </c>
      <c r="I48" s="47" t="s">
        <v>16</v>
      </c>
      <c r="J48" s="35"/>
      <c r="K48" s="35"/>
      <c r="L48" s="35"/>
    </row>
    <row r="49" s="4" customFormat="1" ht="26.25" customHeight="1" spans="1:12">
      <c r="A49" s="51">
        <v>3</v>
      </c>
      <c r="B49" s="49" t="s">
        <v>20</v>
      </c>
      <c r="C49" s="50"/>
      <c r="D49" s="51" t="s">
        <v>21</v>
      </c>
      <c r="E49" s="51">
        <v>125</v>
      </c>
      <c r="F49" s="51">
        <f t="shared" si="7"/>
        <v>0</v>
      </c>
      <c r="G49" s="51">
        <v>65</v>
      </c>
      <c r="H49" s="51">
        <f t="shared" si="8"/>
        <v>0</v>
      </c>
      <c r="I49" s="65" t="s">
        <v>22</v>
      </c>
      <c r="J49" s="86"/>
      <c r="K49" s="87"/>
      <c r="L49" s="87" t="s">
        <v>23</v>
      </c>
    </row>
    <row r="50" s="6" customFormat="1" ht="18" customHeight="1" spans="1:12">
      <c r="A50" s="51">
        <v>4</v>
      </c>
      <c r="B50" s="48" t="s">
        <v>17</v>
      </c>
      <c r="C50" s="44"/>
      <c r="D50" s="42" t="s">
        <v>18</v>
      </c>
      <c r="E50" s="44">
        <v>95</v>
      </c>
      <c r="F50" s="42">
        <f t="shared" si="7"/>
        <v>0</v>
      </c>
      <c r="G50" s="44">
        <v>55</v>
      </c>
      <c r="H50" s="42">
        <f t="shared" si="8"/>
        <v>0</v>
      </c>
      <c r="I50" s="43" t="s">
        <v>19</v>
      </c>
      <c r="J50" s="13"/>
      <c r="K50" s="13"/>
      <c r="L50" s="13"/>
    </row>
    <row r="51" ht="16.5" customHeight="1" spans="1:12">
      <c r="A51" s="51">
        <v>5</v>
      </c>
      <c r="B51" s="45" t="s">
        <v>38</v>
      </c>
      <c r="C51" s="42"/>
      <c r="D51" s="44" t="s">
        <v>36</v>
      </c>
      <c r="E51" s="42">
        <v>2</v>
      </c>
      <c r="F51" s="42">
        <f t="shared" si="7"/>
        <v>0</v>
      </c>
      <c r="G51" s="42">
        <v>4</v>
      </c>
      <c r="H51" s="42">
        <f t="shared" si="8"/>
        <v>0</v>
      </c>
      <c r="I51" s="43" t="s">
        <v>39</v>
      </c>
      <c r="J51" s="35"/>
      <c r="K51" s="35"/>
      <c r="L51" s="35"/>
    </row>
    <row r="52" ht="26.25" customHeight="1" spans="1:12">
      <c r="A52" s="51">
        <v>6</v>
      </c>
      <c r="B52" s="45" t="s">
        <v>40</v>
      </c>
      <c r="C52" s="42"/>
      <c r="D52" s="42" t="s">
        <v>18</v>
      </c>
      <c r="E52" s="42">
        <v>19</v>
      </c>
      <c r="F52" s="42">
        <f t="shared" si="7"/>
        <v>0</v>
      </c>
      <c r="G52" s="42">
        <v>13</v>
      </c>
      <c r="H52" s="42">
        <f t="shared" si="8"/>
        <v>0</v>
      </c>
      <c r="I52" s="43" t="s">
        <v>41</v>
      </c>
      <c r="J52" s="35"/>
      <c r="K52" s="35"/>
      <c r="L52" s="35"/>
    </row>
    <row r="53" ht="27" customHeight="1" spans="1:12">
      <c r="A53" s="51">
        <v>7</v>
      </c>
      <c r="B53" s="45" t="s">
        <v>42</v>
      </c>
      <c r="C53" s="42"/>
      <c r="D53" s="42" t="s">
        <v>18</v>
      </c>
      <c r="E53" s="42">
        <v>12</v>
      </c>
      <c r="F53" s="42">
        <f t="shared" si="7"/>
        <v>0</v>
      </c>
      <c r="G53" s="42">
        <v>7</v>
      </c>
      <c r="H53" s="42">
        <f t="shared" si="8"/>
        <v>0</v>
      </c>
      <c r="I53" s="43" t="s">
        <v>43</v>
      </c>
      <c r="J53" s="35"/>
      <c r="K53" s="35"/>
      <c r="L53" s="35"/>
    </row>
    <row r="54" s="7" customFormat="1" ht="18" customHeight="1" spans="1:12">
      <c r="A54" s="68"/>
      <c r="B54" s="69" t="s">
        <v>51</v>
      </c>
      <c r="C54" s="68"/>
      <c r="D54" s="68"/>
      <c r="E54" s="68"/>
      <c r="F54" s="68">
        <f>SUM(F47:F53)</f>
        <v>0</v>
      </c>
      <c r="G54" s="68"/>
      <c r="H54" s="68">
        <f>SUM(H47:H53)</f>
        <v>0</v>
      </c>
      <c r="I54" s="70"/>
      <c r="J54" s="71"/>
      <c r="K54" s="71"/>
      <c r="L54" s="71"/>
    </row>
    <row r="55" ht="18" customHeight="1" spans="1:12">
      <c r="A55" s="40" t="s">
        <v>75</v>
      </c>
      <c r="B55" s="41" t="s">
        <v>76</v>
      </c>
      <c r="C55" s="42"/>
      <c r="D55" s="42"/>
      <c r="E55" s="42"/>
      <c r="F55" s="42"/>
      <c r="G55" s="42"/>
      <c r="H55" s="42"/>
      <c r="I55" s="43"/>
      <c r="J55" s="35"/>
      <c r="K55" s="35"/>
      <c r="L55" s="35"/>
    </row>
    <row r="56" s="6" customFormat="1" ht="27" customHeight="1" spans="1:12">
      <c r="A56" s="51">
        <v>1</v>
      </c>
      <c r="B56" s="73" t="s">
        <v>54</v>
      </c>
      <c r="C56" s="51"/>
      <c r="D56" s="51" t="s">
        <v>21</v>
      </c>
      <c r="E56" s="51">
        <v>28</v>
      </c>
      <c r="F56" s="51">
        <f t="shared" ref="F56:F58" si="9">C56*E56</f>
        <v>0</v>
      </c>
      <c r="G56" s="51">
        <v>32</v>
      </c>
      <c r="H56" s="51">
        <f t="shared" ref="H56:H58" si="10">SUM(G56*C56)</f>
        <v>0</v>
      </c>
      <c r="I56" s="65" t="s">
        <v>32</v>
      </c>
      <c r="J56" s="66"/>
      <c r="K56" s="66"/>
      <c r="L56" s="66"/>
    </row>
    <row r="57" s="6" customFormat="1" ht="15" customHeight="1" spans="1:12">
      <c r="A57" s="51">
        <v>2</v>
      </c>
      <c r="B57" s="73" t="s">
        <v>55</v>
      </c>
      <c r="C57" s="51"/>
      <c r="D57" s="51" t="s">
        <v>21</v>
      </c>
      <c r="E57" s="51">
        <v>28</v>
      </c>
      <c r="F57" s="51">
        <f t="shared" si="9"/>
        <v>0</v>
      </c>
      <c r="G57" s="51">
        <v>40</v>
      </c>
      <c r="H57" s="51">
        <f t="shared" si="10"/>
        <v>0</v>
      </c>
      <c r="I57" s="65" t="s">
        <v>56</v>
      </c>
      <c r="J57" s="66"/>
      <c r="K57" s="66"/>
      <c r="L57" s="66"/>
    </row>
    <row r="58" ht="16" customHeight="1" spans="1:12">
      <c r="A58" s="51">
        <v>3</v>
      </c>
      <c r="B58" s="47" t="s">
        <v>57</v>
      </c>
      <c r="C58" s="42"/>
      <c r="D58" s="42" t="s">
        <v>18</v>
      </c>
      <c r="E58" s="42">
        <v>0</v>
      </c>
      <c r="F58" s="42">
        <f t="shared" si="9"/>
        <v>0</v>
      </c>
      <c r="G58" s="42">
        <v>9</v>
      </c>
      <c r="H58" s="42">
        <f t="shared" si="10"/>
        <v>0</v>
      </c>
      <c r="I58" s="43" t="s">
        <v>58</v>
      </c>
      <c r="J58" s="35"/>
      <c r="K58" s="35"/>
      <c r="L58" s="35"/>
    </row>
    <row r="59" s="8" customFormat="1" ht="15" customHeight="1" spans="1:12">
      <c r="A59" s="51">
        <v>4</v>
      </c>
      <c r="B59" s="74" t="s">
        <v>59</v>
      </c>
      <c r="C59" s="42"/>
      <c r="D59" s="42" t="s">
        <v>15</v>
      </c>
      <c r="E59" s="42">
        <v>8</v>
      </c>
      <c r="F59" s="42">
        <f t="shared" ref="F59:F64" si="11">C59*E59</f>
        <v>0</v>
      </c>
      <c r="G59" s="42">
        <v>20</v>
      </c>
      <c r="H59" s="42">
        <f t="shared" ref="H59:H64" si="12">SUM(G59*C59)</f>
        <v>0</v>
      </c>
      <c r="I59" s="43" t="s">
        <v>77</v>
      </c>
      <c r="J59" s="75"/>
      <c r="K59" s="75"/>
      <c r="L59" s="75"/>
    </row>
    <row r="60" ht="15" customHeight="1" spans="1:12">
      <c r="A60" s="51">
        <v>5</v>
      </c>
      <c r="B60" s="45" t="s">
        <v>33</v>
      </c>
      <c r="C60" s="42"/>
      <c r="D60" s="42" t="s">
        <v>18</v>
      </c>
      <c r="E60" s="42"/>
      <c r="F60" s="42">
        <f t="shared" si="11"/>
        <v>0</v>
      </c>
      <c r="G60" s="42">
        <v>2.5</v>
      </c>
      <c r="H60" s="42">
        <f t="shared" si="12"/>
        <v>0</v>
      </c>
      <c r="I60" s="43" t="s">
        <v>61</v>
      </c>
      <c r="J60" s="35"/>
      <c r="K60" s="35"/>
      <c r="L60" s="35"/>
    </row>
    <row r="61" ht="15" customHeight="1" spans="1:12">
      <c r="A61" s="51">
        <v>6</v>
      </c>
      <c r="B61" s="45" t="s">
        <v>62</v>
      </c>
      <c r="C61" s="42"/>
      <c r="D61" s="42" t="s">
        <v>18</v>
      </c>
      <c r="E61" s="42">
        <v>45</v>
      </c>
      <c r="F61" s="42">
        <f t="shared" si="11"/>
        <v>0</v>
      </c>
      <c r="G61" s="42">
        <v>20</v>
      </c>
      <c r="H61" s="42">
        <f t="shared" si="12"/>
        <v>0</v>
      </c>
      <c r="I61" s="43" t="s">
        <v>66</v>
      </c>
      <c r="J61" s="35"/>
      <c r="K61" s="35"/>
      <c r="L61" s="35"/>
    </row>
    <row r="62" ht="14.25" customHeight="1" spans="1:12">
      <c r="A62" s="51">
        <v>7</v>
      </c>
      <c r="B62" s="45" t="s">
        <v>67</v>
      </c>
      <c r="C62" s="42"/>
      <c r="D62" s="42" t="s">
        <v>18</v>
      </c>
      <c r="E62" s="42">
        <v>22</v>
      </c>
      <c r="F62" s="42">
        <f t="shared" si="11"/>
        <v>0</v>
      </c>
      <c r="G62" s="42">
        <v>12</v>
      </c>
      <c r="H62" s="42">
        <f t="shared" si="12"/>
        <v>0</v>
      </c>
      <c r="I62" s="43" t="s">
        <v>68</v>
      </c>
      <c r="J62" s="35"/>
      <c r="K62" s="35"/>
      <c r="L62" s="35"/>
    </row>
    <row r="63" ht="15" customHeight="1" spans="1:12">
      <c r="A63" s="51">
        <v>8</v>
      </c>
      <c r="B63" s="45" t="s">
        <v>69</v>
      </c>
      <c r="C63" s="42"/>
      <c r="D63" s="42" t="s">
        <v>18</v>
      </c>
      <c r="E63" s="42">
        <v>45</v>
      </c>
      <c r="F63" s="42">
        <f t="shared" si="11"/>
        <v>0</v>
      </c>
      <c r="G63" s="42">
        <v>20</v>
      </c>
      <c r="H63" s="42">
        <f t="shared" si="12"/>
        <v>0</v>
      </c>
      <c r="I63" s="43" t="s">
        <v>70</v>
      </c>
      <c r="J63" s="35"/>
      <c r="K63" s="35"/>
      <c r="L63" s="35"/>
    </row>
    <row r="64" ht="15" customHeight="1" spans="1:12">
      <c r="A64" s="51">
        <v>9</v>
      </c>
      <c r="B64" s="45" t="s">
        <v>49</v>
      </c>
      <c r="C64" s="42"/>
      <c r="D64" s="42" t="s">
        <v>18</v>
      </c>
      <c r="E64" s="42">
        <v>12</v>
      </c>
      <c r="F64" s="42">
        <f t="shared" si="11"/>
        <v>0</v>
      </c>
      <c r="G64" s="42">
        <v>5</v>
      </c>
      <c r="H64" s="42">
        <f t="shared" si="12"/>
        <v>0</v>
      </c>
      <c r="I64" s="43" t="s">
        <v>50</v>
      </c>
      <c r="J64" s="35"/>
      <c r="K64" s="35"/>
      <c r="L64" s="35"/>
    </row>
    <row r="65" s="7" customFormat="1" ht="16.5" customHeight="1" spans="1:12">
      <c r="A65" s="68"/>
      <c r="B65" s="69" t="s">
        <v>51</v>
      </c>
      <c r="C65" s="68"/>
      <c r="D65" s="68"/>
      <c r="E65" s="68"/>
      <c r="F65" s="68">
        <f>SUM(F56:F64)</f>
        <v>0</v>
      </c>
      <c r="G65" s="68"/>
      <c r="H65" s="68">
        <f>SUM(H56:H64)</f>
        <v>0</v>
      </c>
      <c r="I65" s="70"/>
      <c r="J65" s="71"/>
      <c r="K65" s="71"/>
      <c r="L65" s="71"/>
    </row>
    <row r="66" ht="18" customHeight="1" spans="1:12">
      <c r="A66" s="40" t="s">
        <v>78</v>
      </c>
      <c r="B66" s="41" t="s">
        <v>79</v>
      </c>
      <c r="C66" s="42"/>
      <c r="D66" s="42"/>
      <c r="E66" s="42"/>
      <c r="F66" s="42"/>
      <c r="G66" s="42"/>
      <c r="H66" s="42"/>
      <c r="I66" s="43"/>
      <c r="J66" s="35"/>
      <c r="K66" s="35"/>
      <c r="L66" s="35"/>
    </row>
    <row r="67" s="10" customFormat="1" ht="27" customHeight="1" spans="1:12">
      <c r="A67" s="51">
        <v>1</v>
      </c>
      <c r="B67" s="73" t="s">
        <v>73</v>
      </c>
      <c r="C67" s="51"/>
      <c r="D67" s="51" t="s">
        <v>21</v>
      </c>
      <c r="E67" s="51">
        <v>26</v>
      </c>
      <c r="F67" s="51">
        <f t="shared" ref="F67:F71" si="13">C67*E67</f>
        <v>0</v>
      </c>
      <c r="G67" s="51">
        <v>20</v>
      </c>
      <c r="H67" s="51">
        <f t="shared" ref="H67:H72" si="14">SUM(G67*C67)</f>
        <v>0</v>
      </c>
      <c r="I67" s="65" t="s">
        <v>74</v>
      </c>
      <c r="J67" s="85"/>
      <c r="K67" s="85"/>
      <c r="L67" s="85"/>
    </row>
    <row r="68" s="6" customFormat="1" ht="15" customHeight="1" spans="1:12">
      <c r="A68" s="51">
        <v>2</v>
      </c>
      <c r="B68" s="45" t="s">
        <v>14</v>
      </c>
      <c r="C68" s="42"/>
      <c r="D68" s="42" t="s">
        <v>15</v>
      </c>
      <c r="E68" s="42">
        <v>70</v>
      </c>
      <c r="F68" s="42">
        <f t="shared" si="13"/>
        <v>0</v>
      </c>
      <c r="G68" s="46">
        <v>25</v>
      </c>
      <c r="H68" s="42">
        <f t="shared" si="14"/>
        <v>0</v>
      </c>
      <c r="I68" s="47" t="s">
        <v>16</v>
      </c>
      <c r="J68" s="35"/>
      <c r="K68" s="35"/>
      <c r="L68" s="35"/>
    </row>
    <row r="69" s="4" customFormat="1" ht="26.25" customHeight="1" spans="1:12">
      <c r="A69" s="51">
        <v>3</v>
      </c>
      <c r="B69" s="49" t="s">
        <v>20</v>
      </c>
      <c r="C69" s="50"/>
      <c r="D69" s="51" t="s">
        <v>21</v>
      </c>
      <c r="E69" s="51">
        <v>125</v>
      </c>
      <c r="F69" s="51">
        <f t="shared" si="13"/>
        <v>0</v>
      </c>
      <c r="G69" s="51">
        <v>65</v>
      </c>
      <c r="H69" s="51">
        <f t="shared" si="14"/>
        <v>0</v>
      </c>
      <c r="I69" s="65" t="s">
        <v>22</v>
      </c>
      <c r="J69" s="86"/>
      <c r="K69" s="87"/>
      <c r="L69" s="87" t="s">
        <v>23</v>
      </c>
    </row>
    <row r="70" s="6" customFormat="1" ht="18" customHeight="1" spans="1:12">
      <c r="A70" s="51">
        <v>4</v>
      </c>
      <c r="B70" s="48" t="s">
        <v>17</v>
      </c>
      <c r="C70" s="44"/>
      <c r="D70" s="42" t="s">
        <v>18</v>
      </c>
      <c r="E70" s="44">
        <v>95</v>
      </c>
      <c r="F70" s="42">
        <f t="shared" si="13"/>
        <v>0</v>
      </c>
      <c r="G70" s="44">
        <v>55</v>
      </c>
      <c r="H70" s="42">
        <f t="shared" si="14"/>
        <v>0</v>
      </c>
      <c r="I70" s="43" t="s">
        <v>19</v>
      </c>
      <c r="J70" s="13"/>
      <c r="K70" s="13"/>
      <c r="L70" s="13"/>
    </row>
    <row r="71" s="10" customFormat="1" ht="15.75" customHeight="1" spans="1:12">
      <c r="A71" s="51">
        <v>5</v>
      </c>
      <c r="B71" s="45" t="s">
        <v>80</v>
      </c>
      <c r="C71" s="42"/>
      <c r="D71" s="42" t="s">
        <v>15</v>
      </c>
      <c r="E71" s="42">
        <v>65</v>
      </c>
      <c r="F71" s="42">
        <f t="shared" si="13"/>
        <v>0</v>
      </c>
      <c r="G71" s="42">
        <v>85</v>
      </c>
      <c r="H71" s="42">
        <f t="shared" si="14"/>
        <v>0</v>
      </c>
      <c r="I71" s="43" t="s">
        <v>81</v>
      </c>
      <c r="J71" s="35"/>
      <c r="K71" s="35"/>
      <c r="L71" s="35"/>
    </row>
    <row r="72" ht="16.5" customHeight="1" spans="1:12">
      <c r="A72" s="51">
        <v>6</v>
      </c>
      <c r="B72" s="45" t="s">
        <v>38</v>
      </c>
      <c r="C72" s="42"/>
      <c r="D72" s="44" t="s">
        <v>36</v>
      </c>
      <c r="E72" s="42">
        <v>2</v>
      </c>
      <c r="F72" s="42">
        <f t="shared" ref="F72:F74" si="15">C72*E72</f>
        <v>0</v>
      </c>
      <c r="G72" s="42">
        <v>4</v>
      </c>
      <c r="H72" s="42">
        <f t="shared" si="14"/>
        <v>0</v>
      </c>
      <c r="I72" s="43" t="s">
        <v>39</v>
      </c>
      <c r="J72" s="35"/>
      <c r="K72" s="35"/>
      <c r="L72" s="35"/>
    </row>
    <row r="73" ht="26.25" customHeight="1" spans="1:12">
      <c r="A73" s="51">
        <v>7</v>
      </c>
      <c r="B73" s="45" t="s">
        <v>40</v>
      </c>
      <c r="C73" s="42"/>
      <c r="D73" s="42" t="s">
        <v>18</v>
      </c>
      <c r="E73" s="42">
        <v>19</v>
      </c>
      <c r="F73" s="42">
        <f t="shared" si="15"/>
        <v>0</v>
      </c>
      <c r="G73" s="42">
        <v>13</v>
      </c>
      <c r="H73" s="42">
        <f t="shared" ref="H73:H84" si="16">SUM(G73*C73)</f>
        <v>0</v>
      </c>
      <c r="I73" s="43" t="s">
        <v>41</v>
      </c>
      <c r="J73" s="35"/>
      <c r="K73" s="35"/>
      <c r="L73" s="35"/>
    </row>
    <row r="74" ht="27" customHeight="1" spans="1:12">
      <c r="A74" s="51">
        <v>8</v>
      </c>
      <c r="B74" s="45" t="s">
        <v>42</v>
      </c>
      <c r="C74" s="42"/>
      <c r="D74" s="42" t="s">
        <v>18</v>
      </c>
      <c r="E74" s="42">
        <v>12</v>
      </c>
      <c r="F74" s="42">
        <f t="shared" si="15"/>
        <v>0</v>
      </c>
      <c r="G74" s="42">
        <v>7</v>
      </c>
      <c r="H74" s="42">
        <f t="shared" si="16"/>
        <v>0</v>
      </c>
      <c r="I74" s="43" t="s">
        <v>43</v>
      </c>
      <c r="J74" s="35"/>
      <c r="K74" s="35"/>
      <c r="L74" s="35"/>
    </row>
    <row r="75" s="7" customFormat="1" ht="18" customHeight="1" spans="1:12">
      <c r="A75" s="68"/>
      <c r="B75" s="69" t="s">
        <v>51</v>
      </c>
      <c r="C75" s="68"/>
      <c r="D75" s="68"/>
      <c r="E75" s="68"/>
      <c r="F75" s="68">
        <f>SUM(F67:F74)</f>
        <v>0</v>
      </c>
      <c r="G75" s="68"/>
      <c r="H75" s="68">
        <f>SUM(H67:H74)</f>
        <v>0</v>
      </c>
      <c r="I75" s="70"/>
      <c r="J75" s="71"/>
      <c r="K75" s="71"/>
      <c r="L75" s="71"/>
    </row>
    <row r="76" ht="18" customHeight="1" spans="1:12">
      <c r="A76" s="40" t="s">
        <v>82</v>
      </c>
      <c r="B76" s="41" t="s">
        <v>83</v>
      </c>
      <c r="C76" s="42"/>
      <c r="D76" s="42"/>
      <c r="E76" s="42"/>
      <c r="F76" s="42"/>
      <c r="G76" s="42"/>
      <c r="H76" s="42"/>
      <c r="I76" s="43"/>
      <c r="J76" s="35"/>
      <c r="K76" s="35"/>
      <c r="L76" s="35"/>
    </row>
    <row r="77" s="10" customFormat="1" ht="27" customHeight="1" spans="1:12">
      <c r="A77" s="51">
        <v>1</v>
      </c>
      <c r="B77" s="73" t="s">
        <v>73</v>
      </c>
      <c r="C77" s="51"/>
      <c r="D77" s="51" t="s">
        <v>21</v>
      </c>
      <c r="E77" s="51">
        <v>26</v>
      </c>
      <c r="F77" s="51">
        <f t="shared" ref="F77:F84" si="17">C77*E77</f>
        <v>0</v>
      </c>
      <c r="G77" s="51">
        <v>20</v>
      </c>
      <c r="H77" s="51">
        <f t="shared" si="16"/>
        <v>0</v>
      </c>
      <c r="I77" s="65" t="s">
        <v>74</v>
      </c>
      <c r="J77" s="85"/>
      <c r="K77" s="85"/>
      <c r="L77" s="85"/>
    </row>
    <row r="78" s="6" customFormat="1" ht="15" customHeight="1" spans="1:12">
      <c r="A78" s="51">
        <v>2</v>
      </c>
      <c r="B78" s="45" t="s">
        <v>14</v>
      </c>
      <c r="C78" s="42"/>
      <c r="D78" s="42" t="s">
        <v>15</v>
      </c>
      <c r="E78" s="42">
        <v>70</v>
      </c>
      <c r="F78" s="42">
        <f t="shared" si="17"/>
        <v>0</v>
      </c>
      <c r="G78" s="46">
        <v>25</v>
      </c>
      <c r="H78" s="42">
        <f t="shared" si="16"/>
        <v>0</v>
      </c>
      <c r="I78" s="47" t="s">
        <v>16</v>
      </c>
      <c r="J78" s="35"/>
      <c r="K78" s="35"/>
      <c r="L78" s="35"/>
    </row>
    <row r="79" s="4" customFormat="1" ht="26.25" customHeight="1" spans="1:12">
      <c r="A79" s="51">
        <v>3</v>
      </c>
      <c r="B79" s="49" t="s">
        <v>20</v>
      </c>
      <c r="C79" s="50"/>
      <c r="D79" s="51" t="s">
        <v>21</v>
      </c>
      <c r="E79" s="51">
        <v>125</v>
      </c>
      <c r="F79" s="51">
        <f t="shared" si="17"/>
        <v>0</v>
      </c>
      <c r="G79" s="51">
        <v>65</v>
      </c>
      <c r="H79" s="51">
        <f t="shared" si="16"/>
        <v>0</v>
      </c>
      <c r="I79" s="65" t="s">
        <v>22</v>
      </c>
      <c r="J79" s="86"/>
      <c r="K79" s="87"/>
      <c r="L79" s="87" t="s">
        <v>23</v>
      </c>
    </row>
    <row r="80" s="6" customFormat="1" ht="18" customHeight="1" spans="1:12">
      <c r="A80" s="51">
        <v>4</v>
      </c>
      <c r="B80" s="48" t="s">
        <v>17</v>
      </c>
      <c r="C80" s="44"/>
      <c r="D80" s="42" t="s">
        <v>18</v>
      </c>
      <c r="E80" s="44">
        <v>95</v>
      </c>
      <c r="F80" s="42">
        <f t="shared" si="17"/>
        <v>0</v>
      </c>
      <c r="G80" s="44">
        <v>55</v>
      </c>
      <c r="H80" s="42">
        <f t="shared" si="16"/>
        <v>0</v>
      </c>
      <c r="I80" s="43" t="s">
        <v>19</v>
      </c>
      <c r="J80" s="13"/>
      <c r="K80" s="13"/>
      <c r="L80" s="13"/>
    </row>
    <row r="81" ht="16.5" customHeight="1" spans="1:12">
      <c r="A81" s="51">
        <v>5</v>
      </c>
      <c r="B81" s="45" t="s">
        <v>38</v>
      </c>
      <c r="C81" s="42"/>
      <c r="D81" s="44" t="s">
        <v>36</v>
      </c>
      <c r="E81" s="42">
        <v>2</v>
      </c>
      <c r="F81" s="42">
        <f t="shared" si="17"/>
        <v>0</v>
      </c>
      <c r="G81" s="42">
        <v>4</v>
      </c>
      <c r="H81" s="42">
        <f t="shared" si="16"/>
        <v>0</v>
      </c>
      <c r="I81" s="43" t="s">
        <v>39</v>
      </c>
      <c r="J81" s="35"/>
      <c r="K81" s="35"/>
      <c r="L81" s="35"/>
    </row>
    <row r="82" s="10" customFormat="1" ht="15.75" customHeight="1" spans="1:12">
      <c r="A82" s="51">
        <v>6</v>
      </c>
      <c r="B82" s="45" t="s">
        <v>80</v>
      </c>
      <c r="C82" s="42"/>
      <c r="D82" s="42" t="s">
        <v>15</v>
      </c>
      <c r="E82" s="42">
        <v>65</v>
      </c>
      <c r="F82" s="42">
        <f t="shared" si="17"/>
        <v>0</v>
      </c>
      <c r="G82" s="42">
        <v>85</v>
      </c>
      <c r="H82" s="42">
        <f t="shared" si="16"/>
        <v>0</v>
      </c>
      <c r="I82" s="43" t="s">
        <v>81</v>
      </c>
      <c r="J82" s="35"/>
      <c r="K82" s="35"/>
      <c r="L82" s="35"/>
    </row>
    <row r="83" ht="26.25" customHeight="1" spans="1:12">
      <c r="A83" s="51">
        <v>7</v>
      </c>
      <c r="B83" s="45" t="s">
        <v>40</v>
      </c>
      <c r="C83" s="42"/>
      <c r="D83" s="42" t="s">
        <v>18</v>
      </c>
      <c r="E83" s="42">
        <v>19</v>
      </c>
      <c r="F83" s="42">
        <f t="shared" si="17"/>
        <v>0</v>
      </c>
      <c r="G83" s="42">
        <v>13</v>
      </c>
      <c r="H83" s="42">
        <f t="shared" si="16"/>
        <v>0</v>
      </c>
      <c r="I83" s="43" t="s">
        <v>41</v>
      </c>
      <c r="J83" s="35"/>
      <c r="K83" s="35"/>
      <c r="L83" s="35"/>
    </row>
    <row r="84" ht="27" customHeight="1" spans="1:12">
      <c r="A84" s="51">
        <v>8</v>
      </c>
      <c r="B84" s="45" t="s">
        <v>42</v>
      </c>
      <c r="C84" s="42"/>
      <c r="D84" s="42" t="s">
        <v>18</v>
      </c>
      <c r="E84" s="42">
        <v>12</v>
      </c>
      <c r="F84" s="42">
        <f t="shared" si="17"/>
        <v>0</v>
      </c>
      <c r="G84" s="42">
        <v>7</v>
      </c>
      <c r="H84" s="42">
        <f t="shared" si="16"/>
        <v>0</v>
      </c>
      <c r="I84" s="43" t="s">
        <v>43</v>
      </c>
      <c r="J84" s="35"/>
      <c r="K84" s="35"/>
      <c r="L84" s="35"/>
    </row>
    <row r="85" s="7" customFormat="1" ht="18" customHeight="1" spans="1:12">
      <c r="A85" s="68"/>
      <c r="B85" s="69" t="s">
        <v>51</v>
      </c>
      <c r="C85" s="68"/>
      <c r="D85" s="68"/>
      <c r="E85" s="68"/>
      <c r="F85" s="68">
        <f>SUM(F77:F84)</f>
        <v>0</v>
      </c>
      <c r="G85" s="68"/>
      <c r="H85" s="68">
        <f>SUM(H77:H84)</f>
        <v>0</v>
      </c>
      <c r="I85" s="70"/>
      <c r="J85" s="71"/>
      <c r="K85" s="71"/>
      <c r="L85" s="71"/>
    </row>
    <row r="86" s="11" customFormat="1" customHeight="1" spans="1:12">
      <c r="A86" s="88" t="s">
        <v>84</v>
      </c>
      <c r="B86" s="89" t="s">
        <v>85</v>
      </c>
      <c r="C86" s="88"/>
      <c r="D86" s="88"/>
      <c r="E86" s="88"/>
      <c r="F86" s="88"/>
      <c r="G86" s="88"/>
      <c r="H86" s="88"/>
      <c r="I86" s="89"/>
      <c r="J86" s="90"/>
      <c r="K86" s="90"/>
      <c r="L86" s="90"/>
    </row>
    <row r="87" s="11" customFormat="1" ht="26" customHeight="1" spans="1:12">
      <c r="A87" s="91">
        <v>1</v>
      </c>
      <c r="B87" s="92" t="s">
        <v>86</v>
      </c>
      <c r="C87" s="91"/>
      <c r="D87" s="91" t="s">
        <v>87</v>
      </c>
      <c r="E87" s="91">
        <v>28</v>
      </c>
      <c r="F87" s="91">
        <f>C87*E87</f>
        <v>0</v>
      </c>
      <c r="G87" s="91">
        <v>32</v>
      </c>
      <c r="H87" s="91">
        <f>C87*G87</f>
        <v>0</v>
      </c>
      <c r="I87" s="92" t="s">
        <v>32</v>
      </c>
      <c r="J87" s="90"/>
      <c r="K87" s="90"/>
      <c r="L87" s="90"/>
    </row>
    <row r="88" customFormat="1" ht="28" customHeight="1" spans="1:12">
      <c r="A88" s="91">
        <v>2</v>
      </c>
      <c r="B88" s="93" t="s">
        <v>88</v>
      </c>
      <c r="C88" s="94"/>
      <c r="D88" s="42" t="s">
        <v>18</v>
      </c>
      <c r="E88" s="95">
        <v>220</v>
      </c>
      <c r="F88" s="42">
        <f>C88*E88</f>
        <v>0</v>
      </c>
      <c r="G88" s="44">
        <v>160</v>
      </c>
      <c r="H88" s="42">
        <f>SUM(G88*C88)</f>
        <v>0</v>
      </c>
      <c r="I88" s="96" t="s">
        <v>89</v>
      </c>
    </row>
    <row r="89" s="12" customFormat="1" ht="15.75" customHeight="1" spans="1:12">
      <c r="A89" s="91">
        <v>3</v>
      </c>
      <c r="B89" s="97" t="s">
        <v>90</v>
      </c>
      <c r="C89" s="44"/>
      <c r="D89" s="42" t="s">
        <v>18</v>
      </c>
      <c r="E89" s="95">
        <v>95</v>
      </c>
      <c r="F89" s="42">
        <f t="shared" ref="F89:F97" si="18">C89*E89</f>
        <v>0</v>
      </c>
      <c r="G89" s="95">
        <v>125</v>
      </c>
      <c r="H89" s="42">
        <f t="shared" ref="H89:H95" si="19">SUM(G89*C89)</f>
        <v>0</v>
      </c>
      <c r="I89" s="63" t="s">
        <v>91</v>
      </c>
    </row>
    <row r="90" s="6" customFormat="1" ht="14.25" customHeight="1" spans="1:12">
      <c r="A90" s="91">
        <v>4</v>
      </c>
      <c r="B90" s="73" t="s">
        <v>55</v>
      </c>
      <c r="C90" s="51"/>
      <c r="D90" s="51" t="s">
        <v>21</v>
      </c>
      <c r="E90" s="51">
        <v>28</v>
      </c>
      <c r="F90" s="51">
        <f t="shared" si="18"/>
        <v>0</v>
      </c>
      <c r="G90" s="51">
        <v>40</v>
      </c>
      <c r="H90" s="51">
        <f t="shared" si="19"/>
        <v>0</v>
      </c>
      <c r="I90" s="65" t="s">
        <v>56</v>
      </c>
      <c r="J90" s="66"/>
      <c r="K90" s="66"/>
      <c r="L90" s="66"/>
    </row>
    <row r="91" s="13" customFormat="1" ht="16" customHeight="1" spans="1:12">
      <c r="A91" s="91">
        <v>5</v>
      </c>
      <c r="B91" s="47" t="s">
        <v>57</v>
      </c>
      <c r="C91" s="42"/>
      <c r="D91" s="42" t="s">
        <v>18</v>
      </c>
      <c r="E91" s="42">
        <v>0</v>
      </c>
      <c r="F91" s="42">
        <f t="shared" si="18"/>
        <v>0</v>
      </c>
      <c r="G91" s="42">
        <v>9</v>
      </c>
      <c r="H91" s="42">
        <f t="shared" si="19"/>
        <v>0</v>
      </c>
      <c r="I91" s="43" t="s">
        <v>58</v>
      </c>
      <c r="J91" s="35"/>
      <c r="K91" s="35"/>
      <c r="L91" s="35"/>
    </row>
    <row r="92" s="13" customFormat="1" ht="25" customHeight="1" spans="1:12">
      <c r="A92" s="91">
        <v>6</v>
      </c>
      <c r="B92" s="98" t="s">
        <v>92</v>
      </c>
      <c r="C92" s="99"/>
      <c r="D92" s="100" t="s">
        <v>36</v>
      </c>
      <c r="E92" s="100">
        <v>60</v>
      </c>
      <c r="F92" s="42">
        <f t="shared" si="18"/>
        <v>0</v>
      </c>
      <c r="G92" s="100">
        <v>35</v>
      </c>
      <c r="H92" s="42">
        <f t="shared" si="19"/>
        <v>0</v>
      </c>
      <c r="I92" s="101" t="s">
        <v>93</v>
      </c>
      <c r="J92" s="102"/>
      <c r="K92" s="102"/>
      <c r="L92" s="102"/>
    </row>
    <row r="93" s="13" customFormat="1" ht="15" customHeight="1" spans="1:12">
      <c r="A93" s="91">
        <v>7</v>
      </c>
      <c r="B93" s="103" t="s">
        <v>94</v>
      </c>
      <c r="C93" s="99"/>
      <c r="D93" s="99" t="s">
        <v>18</v>
      </c>
      <c r="E93" s="99">
        <v>22</v>
      </c>
      <c r="F93" s="42">
        <f t="shared" si="18"/>
        <v>0</v>
      </c>
      <c r="G93" s="99">
        <v>15</v>
      </c>
      <c r="H93" s="42">
        <f t="shared" si="19"/>
        <v>0</v>
      </c>
      <c r="I93" s="104" t="s">
        <v>68</v>
      </c>
      <c r="J93" s="105"/>
      <c r="K93" s="105"/>
      <c r="L93" s="105"/>
    </row>
    <row r="94" s="8" customFormat="1" ht="15" customHeight="1" spans="1:12">
      <c r="A94" s="91">
        <v>8</v>
      </c>
      <c r="B94" s="106" t="s">
        <v>95</v>
      </c>
      <c r="C94" s="99"/>
      <c r="D94" s="100" t="s">
        <v>15</v>
      </c>
      <c r="E94" s="107">
        <v>65</v>
      </c>
      <c r="F94" s="42">
        <f t="shared" si="18"/>
        <v>0</v>
      </c>
      <c r="G94" s="107">
        <v>60</v>
      </c>
      <c r="H94" s="42">
        <f t="shared" si="19"/>
        <v>0</v>
      </c>
      <c r="I94" s="101" t="s">
        <v>96</v>
      </c>
      <c r="J94" s="108"/>
      <c r="K94" s="108"/>
      <c r="L94" s="108"/>
    </row>
    <row r="95" s="13" customFormat="1" ht="15" customHeight="1" spans="1:12">
      <c r="A95" s="91">
        <v>9</v>
      </c>
      <c r="B95" s="103" t="s">
        <v>97</v>
      </c>
      <c r="C95" s="99"/>
      <c r="D95" s="99" t="s">
        <v>18</v>
      </c>
      <c r="E95" s="99">
        <v>45</v>
      </c>
      <c r="F95" s="42">
        <f t="shared" si="18"/>
        <v>0</v>
      </c>
      <c r="G95" s="99">
        <v>20</v>
      </c>
      <c r="H95" s="42">
        <f t="shared" si="19"/>
        <v>0</v>
      </c>
      <c r="I95" s="104" t="s">
        <v>98</v>
      </c>
      <c r="J95" s="109"/>
      <c r="K95" s="109"/>
      <c r="L95" s="109"/>
    </row>
    <row r="96" s="11" customFormat="1" customHeight="1" spans="1:12">
      <c r="A96" s="91">
        <v>10</v>
      </c>
      <c r="B96" s="92" t="s">
        <v>33</v>
      </c>
      <c r="C96" s="91"/>
      <c r="D96" s="91" t="s">
        <v>87</v>
      </c>
      <c r="E96" s="91">
        <v>0</v>
      </c>
      <c r="F96" s="91">
        <f t="shared" si="18"/>
        <v>0</v>
      </c>
      <c r="G96" s="91">
        <v>2.5</v>
      </c>
      <c r="H96" s="91">
        <f>C96*G96</f>
        <v>0</v>
      </c>
      <c r="I96" s="92" t="s">
        <v>34</v>
      </c>
      <c r="J96" s="90"/>
      <c r="K96" s="90"/>
      <c r="L96" s="90"/>
    </row>
    <row r="97" s="11" customFormat="1" customHeight="1" spans="1:12">
      <c r="A97" s="91">
        <v>11</v>
      </c>
      <c r="B97" s="92" t="s">
        <v>49</v>
      </c>
      <c r="C97" s="91"/>
      <c r="D97" s="91" t="s">
        <v>87</v>
      </c>
      <c r="E97" s="91">
        <v>12</v>
      </c>
      <c r="F97" s="91">
        <f t="shared" si="18"/>
        <v>0</v>
      </c>
      <c r="G97" s="91">
        <v>5</v>
      </c>
      <c r="H97" s="91">
        <f>C97*G97</f>
        <v>0</v>
      </c>
      <c r="I97" s="92" t="s">
        <v>50</v>
      </c>
      <c r="J97" s="90"/>
      <c r="K97" s="90"/>
      <c r="L97" s="90"/>
    </row>
    <row r="98" s="7" customFormat="1" ht="18" customHeight="1" spans="1:12">
      <c r="A98" s="68"/>
      <c r="B98" s="69" t="s">
        <v>51</v>
      </c>
      <c r="C98" s="68"/>
      <c r="D98" s="68"/>
      <c r="E98" s="68"/>
      <c r="F98" s="68">
        <f>SUM(F87:F97)</f>
        <v>0</v>
      </c>
      <c r="G98" s="68"/>
      <c r="H98" s="68">
        <f>SUM(H87:H97)</f>
        <v>0</v>
      </c>
      <c r="I98" s="70"/>
      <c r="J98" s="71"/>
      <c r="K98" s="71"/>
      <c r="L98" s="71"/>
    </row>
    <row r="99" ht="16.5" customHeight="1" spans="1:12">
      <c r="A99" s="40" t="s">
        <v>84</v>
      </c>
      <c r="B99" s="41" t="s">
        <v>99</v>
      </c>
      <c r="C99" s="42"/>
      <c r="D99" s="42"/>
      <c r="E99" s="42"/>
      <c r="F99" s="42"/>
      <c r="G99" s="42"/>
      <c r="H99" s="42"/>
      <c r="I99" s="43"/>
      <c r="J99" s="35"/>
      <c r="K99" s="35"/>
      <c r="L99" s="35"/>
    </row>
    <row r="100" ht="18" customHeight="1" spans="1:12">
      <c r="A100" s="42" t="s">
        <v>100</v>
      </c>
      <c r="B100" s="110" t="s">
        <v>101</v>
      </c>
      <c r="C100" s="111"/>
      <c r="D100" s="111"/>
      <c r="E100" s="112"/>
      <c r="F100" s="42"/>
      <c r="G100" s="42"/>
      <c r="H100" s="42"/>
      <c r="I100" s="43"/>
      <c r="J100" s="35"/>
      <c r="K100" s="35"/>
      <c r="L100" s="35"/>
    </row>
    <row r="101" s="6" customFormat="1" ht="16" customHeight="1" spans="1:12">
      <c r="A101" s="51">
        <v>1</v>
      </c>
      <c r="B101" s="73" t="s">
        <v>102</v>
      </c>
      <c r="C101" s="51"/>
      <c r="D101" s="51" t="s">
        <v>15</v>
      </c>
      <c r="E101" s="51">
        <v>14</v>
      </c>
      <c r="F101" s="51"/>
      <c r="G101" s="51">
        <v>12</v>
      </c>
      <c r="H101" s="51"/>
      <c r="I101" s="65" t="s">
        <v>103</v>
      </c>
      <c r="J101" s="66"/>
      <c r="K101" s="66"/>
      <c r="L101" s="66"/>
    </row>
    <row r="102" s="6" customFormat="1" ht="15" customHeight="1" spans="1:12">
      <c r="A102" s="51">
        <v>2</v>
      </c>
      <c r="B102" s="73" t="s">
        <v>104</v>
      </c>
      <c r="C102" s="51"/>
      <c r="D102" s="51" t="s">
        <v>15</v>
      </c>
      <c r="E102" s="51">
        <v>6</v>
      </c>
      <c r="F102" s="51"/>
      <c r="G102" s="51">
        <v>11</v>
      </c>
      <c r="H102" s="51"/>
      <c r="I102" s="65" t="s">
        <v>105</v>
      </c>
      <c r="J102" s="66"/>
      <c r="K102" s="66"/>
      <c r="L102" s="66"/>
    </row>
    <row r="103" s="6" customFormat="1" ht="15" customHeight="1" spans="1:12">
      <c r="A103" s="51">
        <v>3</v>
      </c>
      <c r="B103" s="73" t="s">
        <v>106</v>
      </c>
      <c r="C103" s="51"/>
      <c r="D103" s="51" t="s">
        <v>15</v>
      </c>
      <c r="E103" s="51">
        <v>6</v>
      </c>
      <c r="F103" s="51"/>
      <c r="G103" s="51">
        <v>11</v>
      </c>
      <c r="H103" s="51"/>
      <c r="I103" s="65" t="s">
        <v>107</v>
      </c>
      <c r="J103" s="66"/>
      <c r="K103" s="66"/>
      <c r="L103" s="66"/>
    </row>
    <row r="104" s="6" customFormat="1" ht="15" customHeight="1" spans="1:12">
      <c r="A104" s="51">
        <v>4</v>
      </c>
      <c r="B104" s="73" t="s">
        <v>108</v>
      </c>
      <c r="C104" s="51"/>
      <c r="D104" s="51" t="s">
        <v>15</v>
      </c>
      <c r="E104" s="51">
        <v>6</v>
      </c>
      <c r="F104" s="51"/>
      <c r="G104" s="51">
        <v>11</v>
      </c>
      <c r="H104" s="51"/>
      <c r="I104" s="65" t="s">
        <v>107</v>
      </c>
      <c r="J104" s="66"/>
      <c r="K104" s="66"/>
      <c r="L104" s="66"/>
    </row>
    <row r="105" s="6" customFormat="1" ht="15" customHeight="1" spans="1:12">
      <c r="A105" s="51">
        <v>5</v>
      </c>
      <c r="B105" s="73" t="s">
        <v>109</v>
      </c>
      <c r="C105" s="51"/>
      <c r="D105" s="51" t="s">
        <v>15</v>
      </c>
      <c r="E105" s="51">
        <v>6</v>
      </c>
      <c r="F105" s="51"/>
      <c r="G105" s="51">
        <v>11</v>
      </c>
      <c r="H105" s="51"/>
      <c r="I105" s="65" t="s">
        <v>107</v>
      </c>
      <c r="J105" s="66"/>
      <c r="K105" s="66"/>
      <c r="L105" s="66"/>
    </row>
    <row r="106" ht="15" customHeight="1" spans="1:12">
      <c r="A106" s="42">
        <v>6</v>
      </c>
      <c r="B106" s="45" t="s">
        <v>110</v>
      </c>
      <c r="C106" s="42"/>
      <c r="D106" s="42" t="s">
        <v>15</v>
      </c>
      <c r="E106" s="42">
        <v>10</v>
      </c>
      <c r="F106" s="42"/>
      <c r="G106" s="42">
        <v>6</v>
      </c>
      <c r="H106" s="42"/>
      <c r="I106" s="43" t="s">
        <v>111</v>
      </c>
      <c r="J106" s="35"/>
      <c r="K106" s="35"/>
      <c r="L106" s="35"/>
    </row>
    <row r="107" ht="15" customHeight="1" spans="1:12">
      <c r="A107" s="42">
        <v>7</v>
      </c>
      <c r="B107" s="45" t="s">
        <v>112</v>
      </c>
      <c r="C107" s="42"/>
      <c r="D107" s="42" t="s">
        <v>45</v>
      </c>
      <c r="E107" s="42">
        <v>75</v>
      </c>
      <c r="F107" s="42"/>
      <c r="G107" s="42">
        <v>45</v>
      </c>
      <c r="H107" s="46"/>
      <c r="I107" s="43" t="s">
        <v>113</v>
      </c>
      <c r="J107" s="35"/>
      <c r="K107" s="35"/>
      <c r="L107" s="35"/>
    </row>
    <row r="108" ht="15" customHeight="1" spans="1:12">
      <c r="A108" s="42">
        <v>8</v>
      </c>
      <c r="B108" s="45" t="s">
        <v>114</v>
      </c>
      <c r="C108" s="42"/>
      <c r="D108" s="42" t="s">
        <v>115</v>
      </c>
      <c r="E108" s="42">
        <v>2</v>
      </c>
      <c r="F108" s="42"/>
      <c r="G108" s="42">
        <v>4</v>
      </c>
      <c r="H108" s="42"/>
      <c r="I108" s="43" t="s">
        <v>116</v>
      </c>
      <c r="J108" s="35"/>
      <c r="K108" s="35"/>
      <c r="L108" s="35"/>
    </row>
    <row r="109" s="6" customFormat="1" ht="22.5" customHeight="1" spans="1:12">
      <c r="A109" s="51">
        <v>9</v>
      </c>
      <c r="B109" s="73" t="s">
        <v>117</v>
      </c>
      <c r="C109" s="51"/>
      <c r="D109" s="51" t="s">
        <v>15</v>
      </c>
      <c r="E109" s="51">
        <v>18</v>
      </c>
      <c r="F109" s="51"/>
      <c r="G109" s="51">
        <v>13</v>
      </c>
      <c r="H109" s="51"/>
      <c r="I109" s="113" t="s">
        <v>118</v>
      </c>
      <c r="J109" s="66"/>
      <c r="K109" s="66"/>
      <c r="L109" s="66"/>
    </row>
    <row r="110" s="6" customFormat="1" ht="22.5" customHeight="1" spans="1:12">
      <c r="A110" s="51">
        <v>10</v>
      </c>
      <c r="B110" s="73" t="s">
        <v>119</v>
      </c>
      <c r="C110" s="51"/>
      <c r="D110" s="51" t="s">
        <v>15</v>
      </c>
      <c r="E110" s="51">
        <v>25</v>
      </c>
      <c r="F110" s="51"/>
      <c r="G110" s="51">
        <v>15</v>
      </c>
      <c r="H110" s="114"/>
      <c r="I110" s="113" t="s">
        <v>120</v>
      </c>
      <c r="J110" s="66"/>
      <c r="K110" s="66"/>
      <c r="L110" s="66"/>
    </row>
    <row r="111" s="6" customFormat="1" ht="22.5" customHeight="1" spans="1:12">
      <c r="A111" s="51">
        <v>11</v>
      </c>
      <c r="B111" s="73" t="s">
        <v>121</v>
      </c>
      <c r="C111" s="51"/>
      <c r="D111" s="51" t="s">
        <v>15</v>
      </c>
      <c r="E111" s="51">
        <v>55</v>
      </c>
      <c r="F111" s="51"/>
      <c r="G111" s="51">
        <v>20</v>
      </c>
      <c r="H111" s="114"/>
      <c r="I111" s="113" t="s">
        <v>122</v>
      </c>
      <c r="J111" s="66"/>
      <c r="K111" s="66"/>
      <c r="L111" s="66"/>
    </row>
    <row r="112" ht="15.75" customHeight="1" spans="1:12">
      <c r="A112" s="42">
        <v>12</v>
      </c>
      <c r="B112" s="45" t="s">
        <v>123</v>
      </c>
      <c r="C112" s="42"/>
      <c r="D112" s="42" t="s">
        <v>45</v>
      </c>
      <c r="E112" s="42">
        <v>150</v>
      </c>
      <c r="F112" s="42"/>
      <c r="G112" s="42">
        <v>180</v>
      </c>
      <c r="H112" s="42"/>
      <c r="I112" s="43" t="s">
        <v>124</v>
      </c>
      <c r="J112" s="35"/>
      <c r="K112" s="35"/>
      <c r="L112" s="35"/>
    </row>
    <row r="113" ht="15.75" customHeight="1" spans="1:12">
      <c r="A113" s="42">
        <v>13</v>
      </c>
      <c r="B113" s="45" t="s">
        <v>125</v>
      </c>
      <c r="C113" s="42"/>
      <c r="D113" s="42" t="s">
        <v>45</v>
      </c>
      <c r="E113" s="42">
        <v>240</v>
      </c>
      <c r="F113" s="42"/>
      <c r="G113" s="42">
        <v>160</v>
      </c>
      <c r="H113" s="42"/>
      <c r="I113" s="43" t="s">
        <v>124</v>
      </c>
      <c r="J113" s="35"/>
      <c r="K113" s="35"/>
      <c r="L113" s="35"/>
    </row>
    <row r="114" ht="22.5" customHeight="1" spans="1:12">
      <c r="A114" s="42">
        <v>14</v>
      </c>
      <c r="B114" s="45" t="s">
        <v>126</v>
      </c>
      <c r="C114" s="42"/>
      <c r="D114" s="42" t="s">
        <v>45</v>
      </c>
      <c r="E114" s="42">
        <v>120</v>
      </c>
      <c r="F114" s="42"/>
      <c r="G114" s="42">
        <v>380</v>
      </c>
      <c r="H114" s="42"/>
      <c r="I114" s="43" t="s">
        <v>127</v>
      </c>
      <c r="J114" s="35"/>
      <c r="K114" s="35"/>
      <c r="L114" s="35"/>
    </row>
    <row r="115" s="14" customFormat="1" ht="16.5" customHeight="1" spans="1:12">
      <c r="A115" s="42">
        <v>15</v>
      </c>
      <c r="B115" s="74" t="s">
        <v>128</v>
      </c>
      <c r="C115" s="115"/>
      <c r="D115" s="42" t="s">
        <v>18</v>
      </c>
      <c r="E115" s="115"/>
      <c r="F115" s="42"/>
      <c r="G115" s="42">
        <v>5</v>
      </c>
      <c r="H115" s="46"/>
      <c r="I115" s="116" t="s">
        <v>129</v>
      </c>
      <c r="J115" s="35"/>
      <c r="K115" s="117"/>
      <c r="L115" s="117"/>
    </row>
    <row r="116" s="7" customFormat="1" ht="16.5" customHeight="1" spans="1:12">
      <c r="A116" s="68"/>
      <c r="B116" s="69" t="s">
        <v>51</v>
      </c>
      <c r="C116" s="68"/>
      <c r="D116" s="68"/>
      <c r="E116" s="68"/>
      <c r="F116" s="68"/>
      <c r="G116" s="68"/>
      <c r="H116" s="68"/>
      <c r="I116" s="70"/>
      <c r="J116" s="71"/>
      <c r="K116" s="71"/>
      <c r="L116" s="71"/>
    </row>
    <row r="117" ht="16.5" customHeight="1" spans="1:12">
      <c r="A117" s="42" t="s">
        <v>130</v>
      </c>
      <c r="B117" s="82" t="s">
        <v>131</v>
      </c>
      <c r="C117" s="83"/>
      <c r="D117" s="83"/>
      <c r="E117" s="84"/>
      <c r="F117" s="42"/>
      <c r="G117" s="42"/>
      <c r="H117" s="42"/>
      <c r="I117" s="43"/>
      <c r="J117" s="35"/>
      <c r="K117" s="35"/>
      <c r="L117" s="35"/>
    </row>
    <row r="118" s="6" customFormat="1" ht="24.75" customHeight="1" spans="1:12">
      <c r="A118" s="51">
        <v>1</v>
      </c>
      <c r="B118" s="73" t="s">
        <v>132</v>
      </c>
      <c r="C118" s="51"/>
      <c r="D118" s="51" t="s">
        <v>15</v>
      </c>
      <c r="E118" s="51">
        <v>36</v>
      </c>
      <c r="F118" s="51"/>
      <c r="G118" s="51">
        <v>33</v>
      </c>
      <c r="H118" s="51"/>
      <c r="I118" s="65" t="s">
        <v>133</v>
      </c>
      <c r="J118" s="66"/>
      <c r="K118" s="66"/>
      <c r="L118" s="66"/>
    </row>
    <row r="119" ht="26.5" customHeight="1" spans="1:12">
      <c r="A119" s="42">
        <v>2</v>
      </c>
      <c r="B119" s="45" t="s">
        <v>134</v>
      </c>
      <c r="C119" s="42"/>
      <c r="D119" s="42" t="s">
        <v>15</v>
      </c>
      <c r="E119" s="42">
        <v>38</v>
      </c>
      <c r="F119" s="42"/>
      <c r="G119" s="42">
        <v>40</v>
      </c>
      <c r="H119" s="42"/>
      <c r="I119" s="43" t="s">
        <v>135</v>
      </c>
      <c r="J119" s="35"/>
      <c r="K119" s="35"/>
      <c r="L119" s="35"/>
    </row>
    <row r="120" ht="24.5" customHeight="1" spans="1:12">
      <c r="A120" s="42">
        <v>3</v>
      </c>
      <c r="B120" s="45" t="s">
        <v>136</v>
      </c>
      <c r="C120" s="42"/>
      <c r="D120" s="42" t="s">
        <v>15</v>
      </c>
      <c r="E120" s="42">
        <v>48</v>
      </c>
      <c r="F120" s="42"/>
      <c r="G120" s="42">
        <v>70</v>
      </c>
      <c r="H120" s="42"/>
      <c r="I120" s="43" t="s">
        <v>135</v>
      </c>
      <c r="J120" s="35"/>
      <c r="K120" s="35"/>
      <c r="L120" s="35"/>
    </row>
    <row r="121" ht="15" customHeight="1" spans="1:12">
      <c r="A121" s="42">
        <v>4</v>
      </c>
      <c r="B121" s="45" t="s">
        <v>137</v>
      </c>
      <c r="C121" s="42"/>
      <c r="D121" s="42" t="s">
        <v>15</v>
      </c>
      <c r="E121" s="42">
        <v>20</v>
      </c>
      <c r="F121" s="42"/>
      <c r="G121" s="42">
        <v>15</v>
      </c>
      <c r="H121" s="42"/>
      <c r="I121" s="43" t="s">
        <v>138</v>
      </c>
      <c r="J121" s="35"/>
      <c r="K121" s="35"/>
      <c r="L121" s="35"/>
    </row>
    <row r="122" ht="15" customHeight="1" spans="1:12">
      <c r="A122" s="42">
        <v>5</v>
      </c>
      <c r="B122" s="45" t="s">
        <v>139</v>
      </c>
      <c r="C122" s="42"/>
      <c r="D122" s="42" t="s">
        <v>115</v>
      </c>
      <c r="E122" s="42">
        <v>135</v>
      </c>
      <c r="F122" s="42"/>
      <c r="G122" s="42">
        <v>35</v>
      </c>
      <c r="H122" s="42"/>
      <c r="I122" s="43" t="s">
        <v>140</v>
      </c>
      <c r="J122" s="35"/>
      <c r="K122" s="35"/>
      <c r="L122" s="35"/>
    </row>
    <row r="123" s="7" customFormat="1" ht="17.15" customHeight="1" spans="1:12">
      <c r="A123" s="68"/>
      <c r="B123" s="69" t="s">
        <v>51</v>
      </c>
      <c r="C123" s="68"/>
      <c r="D123" s="68"/>
      <c r="E123" s="68"/>
      <c r="F123" s="68"/>
      <c r="G123" s="68"/>
      <c r="H123" s="68"/>
      <c r="I123" s="70"/>
      <c r="J123" s="71"/>
      <c r="K123" s="71"/>
      <c r="L123" s="71"/>
    </row>
    <row r="124" ht="17.15" customHeight="1" spans="1:12">
      <c r="A124" s="118" t="s">
        <v>141</v>
      </c>
      <c r="B124" s="41" t="s">
        <v>142</v>
      </c>
      <c r="C124" s="42"/>
      <c r="D124" s="42"/>
      <c r="E124" s="42"/>
      <c r="F124" s="42"/>
      <c r="G124" s="42"/>
      <c r="H124" s="42"/>
      <c r="I124" s="43"/>
      <c r="J124" s="35"/>
      <c r="K124" s="35"/>
      <c r="L124" s="35"/>
    </row>
    <row r="125" ht="14.25" customHeight="1" spans="1:12">
      <c r="A125" s="42">
        <v>1</v>
      </c>
      <c r="B125" s="45" t="s">
        <v>143</v>
      </c>
      <c r="C125" s="42"/>
      <c r="D125" s="42" t="s">
        <v>15</v>
      </c>
      <c r="E125" s="42">
        <v>22</v>
      </c>
      <c r="F125" s="42">
        <f>C125*E125</f>
        <v>0</v>
      </c>
      <c r="G125" s="42">
        <v>25</v>
      </c>
      <c r="H125" s="42">
        <f>SUM(G125*C125)</f>
        <v>0</v>
      </c>
      <c r="I125" s="43" t="s">
        <v>144</v>
      </c>
      <c r="J125" s="35"/>
      <c r="K125" s="35"/>
      <c r="L125" s="35"/>
    </row>
    <row r="126" s="15" customFormat="1" ht="14.25" customHeight="1" spans="1:12">
      <c r="A126" s="42">
        <v>2</v>
      </c>
      <c r="B126" s="119" t="s">
        <v>145</v>
      </c>
      <c r="C126" s="42"/>
      <c r="D126" s="42" t="s">
        <v>18</v>
      </c>
      <c r="E126" s="120">
        <v>160</v>
      </c>
      <c r="F126" s="42">
        <f t="shared" ref="F126:F145" si="20">C126*E126</f>
        <v>0</v>
      </c>
      <c r="G126" s="120">
        <v>125</v>
      </c>
      <c r="H126" s="42">
        <f t="shared" ref="H126:H145" si="21">SUM(G126*C126)</f>
        <v>0</v>
      </c>
      <c r="I126" s="121" t="s">
        <v>146</v>
      </c>
      <c r="J126" s="122"/>
      <c r="K126" s="122"/>
      <c r="L126" s="122"/>
    </row>
    <row r="127" ht="14.25" customHeight="1" spans="1:12">
      <c r="A127" s="42">
        <v>3</v>
      </c>
      <c r="B127" s="45" t="s">
        <v>147</v>
      </c>
      <c r="C127" s="42"/>
      <c r="D127" s="42" t="s">
        <v>18</v>
      </c>
      <c r="E127" s="42">
        <v>95</v>
      </c>
      <c r="F127" s="42">
        <f t="shared" si="20"/>
        <v>0</v>
      </c>
      <c r="G127" s="42">
        <v>75</v>
      </c>
      <c r="H127" s="42">
        <f t="shared" si="21"/>
        <v>0</v>
      </c>
      <c r="I127" s="43" t="s">
        <v>148</v>
      </c>
      <c r="J127" s="35"/>
      <c r="K127" s="35"/>
      <c r="L127" s="35"/>
    </row>
    <row r="128" ht="14.25" customHeight="1" spans="1:12">
      <c r="A128" s="42">
        <v>4</v>
      </c>
      <c r="B128" s="45" t="s">
        <v>149</v>
      </c>
      <c r="C128" s="42"/>
      <c r="D128" s="42" t="s">
        <v>150</v>
      </c>
      <c r="E128" s="42">
        <v>120</v>
      </c>
      <c r="F128" s="42">
        <f t="shared" si="20"/>
        <v>0</v>
      </c>
      <c r="G128" s="42">
        <v>90</v>
      </c>
      <c r="H128" s="42">
        <f t="shared" si="21"/>
        <v>0</v>
      </c>
      <c r="I128" s="43" t="s">
        <v>151</v>
      </c>
      <c r="J128" s="35"/>
      <c r="K128" s="35"/>
      <c r="L128" s="35"/>
    </row>
    <row r="129" ht="14.25" customHeight="1" spans="1:12">
      <c r="A129" s="42">
        <v>5</v>
      </c>
      <c r="B129" s="45" t="s">
        <v>152</v>
      </c>
      <c r="C129" s="42"/>
      <c r="D129" s="42" t="s">
        <v>150</v>
      </c>
      <c r="E129" s="42">
        <v>150</v>
      </c>
      <c r="F129" s="42">
        <f t="shared" si="20"/>
        <v>0</v>
      </c>
      <c r="G129" s="42">
        <v>100</v>
      </c>
      <c r="H129" s="42">
        <f t="shared" si="21"/>
        <v>0</v>
      </c>
      <c r="I129" s="43" t="s">
        <v>151</v>
      </c>
      <c r="J129" s="35"/>
      <c r="K129" s="35"/>
      <c r="L129" s="35"/>
    </row>
    <row r="130" ht="14.25" customHeight="1" spans="1:12">
      <c r="A130" s="42">
        <v>6</v>
      </c>
      <c r="B130" s="45" t="s">
        <v>153</v>
      </c>
      <c r="C130" s="42"/>
      <c r="D130" s="42" t="s">
        <v>45</v>
      </c>
      <c r="E130" s="42">
        <v>120</v>
      </c>
      <c r="F130" s="42">
        <f t="shared" si="20"/>
        <v>0</v>
      </c>
      <c r="G130" s="42">
        <v>320</v>
      </c>
      <c r="H130" s="42">
        <f t="shared" si="21"/>
        <v>0</v>
      </c>
      <c r="I130" s="43" t="s">
        <v>154</v>
      </c>
      <c r="J130" s="35"/>
      <c r="K130" s="35"/>
      <c r="L130" s="35"/>
    </row>
    <row r="131" ht="14.25" customHeight="1" spans="1:12">
      <c r="A131" s="42">
        <v>7</v>
      </c>
      <c r="B131" s="45" t="s">
        <v>155</v>
      </c>
      <c r="C131" s="42"/>
      <c r="D131" s="42" t="s">
        <v>45</v>
      </c>
      <c r="E131" s="42">
        <v>10</v>
      </c>
      <c r="F131" s="42">
        <f t="shared" si="20"/>
        <v>0</v>
      </c>
      <c r="G131" s="42">
        <v>15</v>
      </c>
      <c r="H131" s="42">
        <f t="shared" si="21"/>
        <v>0</v>
      </c>
      <c r="I131" s="123" t="s">
        <v>156</v>
      </c>
      <c r="J131" s="35"/>
      <c r="K131" s="35"/>
      <c r="L131" s="35"/>
    </row>
    <row r="132" s="16" customFormat="1" ht="14.25" customHeight="1" spans="1:12">
      <c r="A132" s="42">
        <v>8</v>
      </c>
      <c r="B132" s="74" t="s">
        <v>157</v>
      </c>
      <c r="C132" s="42"/>
      <c r="D132" s="42" t="s">
        <v>45</v>
      </c>
      <c r="E132" s="115">
        <v>280</v>
      </c>
      <c r="F132" s="42">
        <f t="shared" si="20"/>
        <v>0</v>
      </c>
      <c r="G132" s="42">
        <v>380</v>
      </c>
      <c r="H132" s="42">
        <f t="shared" si="21"/>
        <v>0</v>
      </c>
      <c r="I132" s="124" t="s">
        <v>158</v>
      </c>
      <c r="J132" s="125"/>
      <c r="K132" s="125"/>
      <c r="L132" s="125"/>
    </row>
    <row r="133" s="16" customFormat="1" ht="14.25" customHeight="1" spans="1:12">
      <c r="A133" s="42">
        <v>9</v>
      </c>
      <c r="B133" s="74" t="s">
        <v>159</v>
      </c>
      <c r="C133" s="42"/>
      <c r="D133" s="42" t="s">
        <v>45</v>
      </c>
      <c r="E133" s="115">
        <v>105</v>
      </c>
      <c r="F133" s="42">
        <f t="shared" si="20"/>
        <v>0</v>
      </c>
      <c r="G133" s="42">
        <v>70</v>
      </c>
      <c r="H133" s="42">
        <f t="shared" si="21"/>
        <v>0</v>
      </c>
      <c r="I133" s="124" t="s">
        <v>160</v>
      </c>
      <c r="J133" s="125"/>
      <c r="K133" s="125"/>
      <c r="L133" s="125"/>
    </row>
    <row r="134" customFormat="1" ht="14.25" customHeight="1" spans="1:12">
      <c r="A134" s="42">
        <v>10</v>
      </c>
      <c r="B134" s="97" t="s">
        <v>161</v>
      </c>
      <c r="C134" s="42"/>
      <c r="D134" s="44" t="s">
        <v>36</v>
      </c>
      <c r="E134" s="95">
        <v>340</v>
      </c>
      <c r="F134" s="42">
        <f t="shared" si="20"/>
        <v>0</v>
      </c>
      <c r="G134" s="44">
        <v>380</v>
      </c>
      <c r="H134" s="42">
        <f t="shared" si="21"/>
        <v>0</v>
      </c>
      <c r="I134" s="96" t="s">
        <v>162</v>
      </c>
    </row>
    <row r="135" s="17" customFormat="1" ht="15" customHeight="1" spans="1:12">
      <c r="A135" s="42">
        <v>11</v>
      </c>
      <c r="B135" s="126" t="s">
        <v>163</v>
      </c>
      <c r="C135" s="51"/>
      <c r="D135" s="51" t="s">
        <v>45</v>
      </c>
      <c r="E135" s="114">
        <v>25</v>
      </c>
      <c r="F135" s="42">
        <f t="shared" si="20"/>
        <v>0</v>
      </c>
      <c r="G135" s="114">
        <v>45</v>
      </c>
      <c r="H135" s="42">
        <f t="shared" si="21"/>
        <v>0</v>
      </c>
      <c r="I135" s="64" t="s">
        <v>164</v>
      </c>
      <c r="J135" s="66"/>
      <c r="K135" s="66"/>
      <c r="L135" s="66"/>
    </row>
    <row r="136" ht="14.25" customHeight="1" spans="1:12">
      <c r="A136" s="42">
        <v>12</v>
      </c>
      <c r="B136" s="45" t="s">
        <v>165</v>
      </c>
      <c r="C136" s="42"/>
      <c r="D136" s="42" t="s">
        <v>18</v>
      </c>
      <c r="E136" s="42">
        <v>0</v>
      </c>
      <c r="F136" s="42">
        <f t="shared" si="20"/>
        <v>0</v>
      </c>
      <c r="G136" s="42">
        <v>75</v>
      </c>
      <c r="H136" s="42">
        <f t="shared" si="21"/>
        <v>0</v>
      </c>
      <c r="I136" s="43" t="s">
        <v>166</v>
      </c>
      <c r="J136" s="35"/>
      <c r="K136" s="35"/>
      <c r="L136" s="35"/>
    </row>
    <row r="137" s="15" customFormat="1" ht="15.75" customHeight="1" spans="1:12">
      <c r="A137" s="42">
        <v>13</v>
      </c>
      <c r="B137" s="127" t="s">
        <v>167</v>
      </c>
      <c r="C137" s="42"/>
      <c r="D137" s="128" t="s">
        <v>15</v>
      </c>
      <c r="E137" s="129">
        <v>25</v>
      </c>
      <c r="F137" s="42">
        <f t="shared" si="20"/>
        <v>0</v>
      </c>
      <c r="G137" s="129">
        <v>48</v>
      </c>
      <c r="H137" s="42">
        <f t="shared" si="21"/>
        <v>0</v>
      </c>
      <c r="I137" s="130" t="s">
        <v>168</v>
      </c>
    </row>
    <row r="138" s="8" customFormat="1" ht="14.15" customHeight="1" spans="1:12">
      <c r="A138" s="42">
        <v>14</v>
      </c>
      <c r="B138" s="127" t="s">
        <v>169</v>
      </c>
      <c r="C138" s="128"/>
      <c r="D138" s="128" t="s">
        <v>15</v>
      </c>
      <c r="E138" s="129">
        <v>65</v>
      </c>
      <c r="F138" s="42">
        <f t="shared" si="20"/>
        <v>0</v>
      </c>
      <c r="G138" s="129">
        <v>100</v>
      </c>
      <c r="H138" s="42">
        <f t="shared" si="21"/>
        <v>0</v>
      </c>
      <c r="I138" s="130" t="s">
        <v>170</v>
      </c>
      <c r="J138"/>
      <c r="K138"/>
      <c r="L138"/>
    </row>
    <row r="139" customFormat="1" ht="15" customHeight="1" spans="1:12">
      <c r="A139" s="42">
        <v>15</v>
      </c>
      <c r="B139" s="131" t="s">
        <v>171</v>
      </c>
      <c r="C139" s="42"/>
      <c r="D139" s="42" t="s">
        <v>45</v>
      </c>
      <c r="E139" s="46">
        <v>160</v>
      </c>
      <c r="F139" s="42">
        <f t="shared" si="20"/>
        <v>0</v>
      </c>
      <c r="G139" s="46">
        <v>125</v>
      </c>
      <c r="H139" s="42">
        <f t="shared" si="21"/>
        <v>0</v>
      </c>
      <c r="I139" s="43" t="s">
        <v>172</v>
      </c>
      <c r="J139" s="35"/>
      <c r="K139" s="35"/>
      <c r="L139" s="35"/>
    </row>
    <row r="140" customFormat="1" ht="15" customHeight="1" spans="1:12">
      <c r="A140" s="42">
        <v>16</v>
      </c>
      <c r="B140" s="45" t="s">
        <v>173</v>
      </c>
      <c r="C140" s="42"/>
      <c r="D140" s="42" t="s">
        <v>45</v>
      </c>
      <c r="E140" s="46">
        <v>45</v>
      </c>
      <c r="F140" s="42">
        <f t="shared" si="20"/>
        <v>0</v>
      </c>
      <c r="G140" s="46">
        <v>90</v>
      </c>
      <c r="H140" s="42">
        <f t="shared" si="21"/>
        <v>0</v>
      </c>
      <c r="I140" s="123" t="s">
        <v>174</v>
      </c>
      <c r="J140" s="35"/>
      <c r="K140" s="35"/>
      <c r="L140" s="35"/>
    </row>
    <row r="141" s="15" customFormat="1" ht="14.25" customHeight="1" spans="1:12">
      <c r="A141" s="42">
        <v>17</v>
      </c>
      <c r="B141" s="132" t="s">
        <v>175</v>
      </c>
      <c r="C141" s="42"/>
      <c r="D141" s="42" t="s">
        <v>18</v>
      </c>
      <c r="E141" s="133">
        <v>9.5</v>
      </c>
      <c r="F141" s="42">
        <f t="shared" si="20"/>
        <v>0</v>
      </c>
      <c r="G141" s="133">
        <v>6</v>
      </c>
      <c r="H141" s="42">
        <f t="shared" si="21"/>
        <v>0</v>
      </c>
      <c r="I141" s="134" t="s">
        <v>176</v>
      </c>
      <c r="J141" s="135"/>
      <c r="K141" s="135"/>
      <c r="L141" s="135"/>
    </row>
    <row r="142" s="15" customFormat="1" ht="14.25" customHeight="1" spans="1:12">
      <c r="A142" s="42">
        <v>18</v>
      </c>
      <c r="B142" s="45" t="s">
        <v>177</v>
      </c>
      <c r="C142" s="42"/>
      <c r="D142" s="42" t="s">
        <v>18</v>
      </c>
      <c r="E142" s="42">
        <v>80</v>
      </c>
      <c r="F142" s="42">
        <f t="shared" si="20"/>
        <v>0</v>
      </c>
      <c r="G142" s="42">
        <v>75</v>
      </c>
      <c r="H142" s="42">
        <f t="shared" si="21"/>
        <v>0</v>
      </c>
      <c r="I142" s="43" t="s">
        <v>178</v>
      </c>
      <c r="J142" s="35"/>
      <c r="K142" s="35"/>
      <c r="L142" s="35"/>
    </row>
    <row r="143" ht="15" customHeight="1" spans="1:12">
      <c r="A143" s="42">
        <v>19</v>
      </c>
      <c r="B143" s="45" t="s">
        <v>179</v>
      </c>
      <c r="C143" s="42"/>
      <c r="D143" s="42" t="s">
        <v>18</v>
      </c>
      <c r="E143" s="42">
        <v>90</v>
      </c>
      <c r="F143" s="42">
        <f t="shared" si="20"/>
        <v>0</v>
      </c>
      <c r="G143" s="42">
        <v>85</v>
      </c>
      <c r="H143" s="42">
        <f t="shared" si="21"/>
        <v>0</v>
      </c>
      <c r="I143" s="43" t="s">
        <v>178</v>
      </c>
      <c r="J143" s="35"/>
      <c r="K143" s="35"/>
      <c r="L143" s="35"/>
    </row>
    <row r="144" ht="14.25" customHeight="1" spans="1:12">
      <c r="A144" s="42">
        <v>20</v>
      </c>
      <c r="B144" s="45" t="s">
        <v>180</v>
      </c>
      <c r="C144" s="42"/>
      <c r="D144" s="42" t="s">
        <v>18</v>
      </c>
      <c r="E144" s="42">
        <v>15</v>
      </c>
      <c r="F144" s="42">
        <f t="shared" si="20"/>
        <v>0</v>
      </c>
      <c r="G144" s="42">
        <v>13</v>
      </c>
      <c r="H144" s="42">
        <f t="shared" si="21"/>
        <v>0</v>
      </c>
      <c r="I144" s="43" t="s">
        <v>181</v>
      </c>
      <c r="J144" s="35"/>
      <c r="K144" s="35"/>
      <c r="L144" s="35"/>
    </row>
    <row r="145" s="8" customFormat="1" ht="14.25" customHeight="1" spans="1:24">
      <c r="A145" s="42">
        <v>21</v>
      </c>
      <c r="B145" s="74" t="s">
        <v>182</v>
      </c>
      <c r="C145" s="42"/>
      <c r="D145" s="42" t="s">
        <v>18</v>
      </c>
      <c r="E145" s="42">
        <v>2</v>
      </c>
      <c r="F145" s="42">
        <f t="shared" si="20"/>
        <v>0</v>
      </c>
      <c r="G145" s="42">
        <v>6</v>
      </c>
      <c r="H145" s="42">
        <f t="shared" si="21"/>
        <v>0</v>
      </c>
      <c r="I145" s="43" t="s">
        <v>183</v>
      </c>
      <c r="J145" s="75"/>
      <c r="K145" s="75"/>
      <c r="L145" s="75"/>
    </row>
    <row r="146" s="7" customFormat="1" ht="17.25" customHeight="1" spans="1:24">
      <c r="A146" s="68"/>
      <c r="B146" s="69" t="s">
        <v>51</v>
      </c>
      <c r="C146" s="68"/>
      <c r="D146" s="68"/>
      <c r="E146" s="68"/>
      <c r="F146" s="68">
        <f>SUM(F125:F145)</f>
        <v>0</v>
      </c>
      <c r="G146" s="68"/>
      <c r="H146" s="68">
        <f>SUM(H125:H145)</f>
        <v>0</v>
      </c>
      <c r="I146" s="70"/>
      <c r="J146" s="71"/>
      <c r="K146" s="71"/>
      <c r="L146" s="71"/>
    </row>
    <row r="147" ht="17.25" customHeight="1" spans="1:24">
      <c r="A147" s="42"/>
      <c r="B147" s="72" t="s">
        <v>184</v>
      </c>
      <c r="C147" s="42"/>
      <c r="D147" s="42"/>
      <c r="E147" s="42"/>
      <c r="F147" s="136">
        <f>F146+F85+F75+F65+F54+F45+F34+F25</f>
        <v>0</v>
      </c>
      <c r="G147" s="136"/>
      <c r="H147" s="136">
        <f>H146+H85+H75+H65+H54+H45+H34+H25</f>
        <v>0</v>
      </c>
      <c r="I147" s="43"/>
      <c r="J147" s="35"/>
      <c r="K147" s="35"/>
      <c r="L147" s="35"/>
    </row>
    <row r="148" s="7" customFormat="1" ht="17.25" customHeight="1" spans="1:24">
      <c r="A148" s="68"/>
      <c r="B148" s="69" t="s">
        <v>185</v>
      </c>
      <c r="C148" s="68"/>
      <c r="D148" s="68"/>
      <c r="E148" s="68"/>
      <c r="F148" s="68"/>
      <c r="G148" s="68"/>
      <c r="H148" s="137">
        <f>F147+H147</f>
        <v>0</v>
      </c>
      <c r="I148" s="138"/>
      <c r="J148" s="71"/>
      <c r="K148" s="71"/>
      <c r="L148" s="71"/>
    </row>
    <row r="149" s="18" customFormat="1" ht="18" customHeight="1" spans="1:24">
      <c r="A149" s="139"/>
      <c r="B149" s="140" t="s">
        <v>186</v>
      </c>
      <c r="C149" s="141"/>
      <c r="D149" s="141"/>
      <c r="E149" s="141"/>
      <c r="F149" s="141"/>
      <c r="G149" s="141"/>
      <c r="H149" s="141"/>
      <c r="I149" s="142"/>
      <c r="J149" s="143"/>
      <c r="K149" s="143"/>
      <c r="L149" s="143"/>
    </row>
    <row r="150" ht="14.25" customHeight="1" spans="1:24">
      <c r="A150" s="42"/>
      <c r="B150" s="144" t="s">
        <v>187</v>
      </c>
      <c r="C150" s="42"/>
      <c r="D150" s="42"/>
      <c r="E150" s="42"/>
      <c r="F150" s="42"/>
      <c r="G150" s="145"/>
      <c r="H150" s="136">
        <f>H148*3.5%</f>
        <v>0</v>
      </c>
      <c r="I150" s="43" t="s">
        <v>188</v>
      </c>
      <c r="J150" s="35"/>
      <c r="K150" s="35"/>
      <c r="L150" s="35"/>
    </row>
    <row r="151" ht="24" customHeight="1" spans="1:24">
      <c r="A151" s="42"/>
      <c r="B151" s="72" t="s">
        <v>189</v>
      </c>
      <c r="C151" s="42"/>
      <c r="D151" s="42"/>
      <c r="E151" s="42"/>
      <c r="F151" s="42"/>
      <c r="G151" s="145"/>
      <c r="H151" s="136">
        <f>H148*3%</f>
        <v>0</v>
      </c>
      <c r="I151" s="43" t="s">
        <v>190</v>
      </c>
      <c r="J151" s="35"/>
      <c r="K151" s="35"/>
      <c r="L151" s="35"/>
    </row>
    <row r="152" s="5" customFormat="1" ht="15.75" customHeight="1" spans="1:24">
      <c r="A152" s="42"/>
      <c r="B152" s="72" t="s">
        <v>191</v>
      </c>
      <c r="C152" s="42"/>
      <c r="D152" s="42"/>
      <c r="E152" s="42"/>
      <c r="F152" s="146"/>
      <c r="G152" s="42"/>
      <c r="H152" s="136">
        <f>H148*8%</f>
        <v>0</v>
      </c>
      <c r="I152" s="56" t="s">
        <v>192</v>
      </c>
      <c r="J152" s="57"/>
      <c r="K152" s="57"/>
      <c r="L152" s="57"/>
      <c r="M152" s="58"/>
      <c r="N152" s="58"/>
      <c r="O152" s="58"/>
      <c r="P152" s="58"/>
      <c r="Q152" s="58"/>
      <c r="R152" s="58"/>
      <c r="S152" s="58"/>
      <c r="T152" s="58"/>
      <c r="U152" s="58"/>
      <c r="V152" s="58"/>
      <c r="W152" s="58"/>
      <c r="X152" s="61"/>
    </row>
    <row r="153" s="5" customFormat="1" ht="15.75" customHeight="1" spans="1:24">
      <c r="A153" s="42"/>
      <c r="B153" s="72" t="s">
        <v>193</v>
      </c>
      <c r="C153" s="42"/>
      <c r="D153" s="42"/>
      <c r="E153" s="42"/>
      <c r="F153" s="146"/>
      <c r="G153" s="42"/>
      <c r="H153" s="136">
        <f>H148*5%</f>
        <v>0</v>
      </c>
      <c r="I153" s="56" t="s">
        <v>194</v>
      </c>
      <c r="J153" s="57"/>
      <c r="K153" s="57"/>
      <c r="L153" s="57"/>
      <c r="M153" s="58"/>
      <c r="N153" s="58"/>
      <c r="O153" s="58"/>
      <c r="P153" s="58"/>
      <c r="Q153" s="58"/>
      <c r="R153" s="58"/>
      <c r="S153" s="58"/>
      <c r="T153" s="58"/>
      <c r="U153" s="58"/>
      <c r="V153" s="58"/>
      <c r="W153" s="58"/>
      <c r="X153" s="61"/>
    </row>
    <row r="154" s="19" customFormat="1" ht="15.75" customHeight="1" spans="1:24">
      <c r="A154" s="139"/>
      <c r="B154" s="147" t="s">
        <v>195</v>
      </c>
      <c r="C154" s="139"/>
      <c r="D154" s="139"/>
      <c r="E154" s="139"/>
      <c r="F154" s="148"/>
      <c r="G154" s="139"/>
      <c r="H154" s="149">
        <f>H153+H152+H151+H150+H148</f>
        <v>0</v>
      </c>
      <c r="I154" s="150"/>
      <c r="J154" s="151"/>
      <c r="K154" s="151"/>
      <c r="L154" s="151"/>
      <c r="M154" s="152"/>
      <c r="N154" s="152"/>
      <c r="O154" s="152"/>
      <c r="P154" s="152"/>
      <c r="Q154" s="152"/>
      <c r="R154" s="152"/>
      <c r="S154" s="152"/>
      <c r="T154" s="152"/>
      <c r="U154" s="152"/>
      <c r="V154" s="152"/>
      <c r="W154" s="152"/>
      <c r="X154" s="153"/>
    </row>
    <row r="155" s="5" customFormat="1" ht="15" customHeight="1" spans="1:24">
      <c r="A155" s="42"/>
      <c r="B155" s="154" t="s">
        <v>196</v>
      </c>
      <c r="C155" s="155"/>
      <c r="D155" s="155"/>
      <c r="E155" s="155"/>
      <c r="F155" s="155"/>
      <c r="G155" s="155"/>
      <c r="H155" s="156"/>
      <c r="I155" s="157" t="s">
        <v>197</v>
      </c>
      <c r="J155" s="57"/>
      <c r="K155" s="57"/>
      <c r="L155" s="57"/>
      <c r="M155" s="58"/>
      <c r="N155" s="58"/>
      <c r="O155" s="58"/>
      <c r="P155" s="58"/>
      <c r="Q155" s="58"/>
      <c r="R155" s="58"/>
      <c r="S155" s="58"/>
      <c r="T155" s="58"/>
      <c r="U155" s="58"/>
      <c r="V155" s="58"/>
      <c r="W155" s="58"/>
      <c r="X155" s="61"/>
    </row>
    <row r="156" s="19" customFormat="1" ht="17.15" customHeight="1" spans="1:24">
      <c r="A156" s="139" t="s">
        <v>12</v>
      </c>
      <c r="B156" s="147" t="s">
        <v>198</v>
      </c>
      <c r="C156" s="139"/>
      <c r="D156" s="139"/>
      <c r="E156" s="139"/>
      <c r="F156" s="148"/>
      <c r="G156" s="139"/>
      <c r="H156" s="148"/>
      <c r="I156" s="158"/>
      <c r="J156" s="151"/>
      <c r="K156" s="151"/>
      <c r="L156" s="151"/>
      <c r="M156" s="152"/>
      <c r="N156" s="152"/>
      <c r="O156" s="152"/>
      <c r="P156" s="152"/>
      <c r="Q156" s="152"/>
      <c r="R156" s="152"/>
      <c r="S156" s="152"/>
      <c r="T156" s="152"/>
      <c r="U156" s="152"/>
      <c r="V156" s="152"/>
      <c r="W156" s="152"/>
      <c r="X156" s="153"/>
    </row>
    <row r="157" s="5" customFormat="1" ht="15" customHeight="1" spans="1:24">
      <c r="A157" s="42">
        <v>1</v>
      </c>
      <c r="B157" s="45" t="s">
        <v>199</v>
      </c>
      <c r="C157" s="42"/>
      <c r="D157" s="42" t="s">
        <v>200</v>
      </c>
      <c r="E157" s="46">
        <v>95</v>
      </c>
      <c r="F157" s="42"/>
      <c r="G157" s="46">
        <v>45</v>
      </c>
      <c r="H157" s="46"/>
      <c r="I157" s="56" t="s">
        <v>201</v>
      </c>
      <c r="J157" s="57"/>
      <c r="K157" s="57"/>
      <c r="L157" s="57"/>
      <c r="M157" s="58"/>
      <c r="N157" s="58"/>
      <c r="O157" s="58"/>
      <c r="P157" s="58"/>
      <c r="Q157" s="58"/>
      <c r="R157" s="58"/>
      <c r="S157" s="58"/>
      <c r="T157" s="58"/>
      <c r="U157" s="58"/>
      <c r="V157" s="58"/>
      <c r="W157" s="58"/>
      <c r="X157" s="61"/>
    </row>
    <row r="158" ht="15" customHeight="1" spans="1:24">
      <c r="A158" s="42">
        <v>2</v>
      </c>
      <c r="B158" s="45" t="s">
        <v>202</v>
      </c>
      <c r="C158" s="42"/>
      <c r="D158" s="42" t="s">
        <v>45</v>
      </c>
      <c r="E158" s="46">
        <v>2</v>
      </c>
      <c r="F158" s="42"/>
      <c r="G158" s="46">
        <v>6</v>
      </c>
      <c r="H158" s="42"/>
      <c r="I158" s="43" t="s">
        <v>203</v>
      </c>
      <c r="J158" s="35"/>
      <c r="K158" s="35"/>
      <c r="L158" s="35"/>
    </row>
    <row r="159" ht="15" customHeight="1" spans="1:24">
      <c r="A159" s="42">
        <v>3</v>
      </c>
      <c r="B159" s="45" t="s">
        <v>204</v>
      </c>
      <c r="C159" s="42"/>
      <c r="D159" s="42" t="s">
        <v>45</v>
      </c>
      <c r="E159" s="46">
        <v>20</v>
      </c>
      <c r="F159" s="42"/>
      <c r="G159" s="46">
        <v>45</v>
      </c>
      <c r="H159" s="42"/>
      <c r="I159" s="123" t="s">
        <v>205</v>
      </c>
      <c r="J159" s="35"/>
      <c r="K159" s="35"/>
      <c r="L159" s="35"/>
    </row>
    <row r="160" ht="15" customHeight="1" spans="1:24">
      <c r="A160" s="42">
        <v>4</v>
      </c>
      <c r="B160" s="45" t="s">
        <v>206</v>
      </c>
      <c r="C160" s="42"/>
      <c r="D160" s="42" t="s">
        <v>45</v>
      </c>
      <c r="E160" s="46">
        <v>20</v>
      </c>
      <c r="F160" s="42"/>
      <c r="G160" s="46">
        <v>60</v>
      </c>
      <c r="H160" s="42"/>
      <c r="I160" s="123" t="s">
        <v>207</v>
      </c>
      <c r="J160" s="35"/>
      <c r="K160" s="35"/>
      <c r="L160" s="35"/>
    </row>
    <row r="161" ht="15" customHeight="1" spans="1:12">
      <c r="A161" s="42">
        <v>5</v>
      </c>
      <c r="B161" s="45" t="s">
        <v>208</v>
      </c>
      <c r="C161" s="42"/>
      <c r="D161" s="42" t="s">
        <v>45</v>
      </c>
      <c r="E161" s="46">
        <v>20</v>
      </c>
      <c r="F161" s="42"/>
      <c r="G161" s="46">
        <v>85</v>
      </c>
      <c r="H161" s="42"/>
      <c r="I161" s="123" t="s">
        <v>209</v>
      </c>
      <c r="J161" s="35"/>
      <c r="K161" s="35"/>
      <c r="L161" s="35"/>
    </row>
    <row r="162" ht="15" customHeight="1" spans="1:12">
      <c r="A162" s="42">
        <v>6</v>
      </c>
      <c r="B162" s="45" t="s">
        <v>173</v>
      </c>
      <c r="C162" s="42"/>
      <c r="D162" s="42" t="s">
        <v>45</v>
      </c>
      <c r="E162" s="46">
        <v>45</v>
      </c>
      <c r="F162" s="42"/>
      <c r="G162" s="46">
        <v>90</v>
      </c>
      <c r="H162" s="42"/>
      <c r="I162" s="123" t="s">
        <v>174</v>
      </c>
      <c r="J162" s="35"/>
      <c r="K162" s="35"/>
      <c r="L162" s="35"/>
    </row>
    <row r="163" ht="15" customHeight="1" spans="1:12">
      <c r="A163" s="42">
        <v>7</v>
      </c>
      <c r="B163" s="45" t="s">
        <v>210</v>
      </c>
      <c r="C163" s="42"/>
      <c r="D163" s="42" t="s">
        <v>45</v>
      </c>
      <c r="E163" s="46">
        <v>180</v>
      </c>
      <c r="F163" s="42"/>
      <c r="G163" s="46">
        <v>120</v>
      </c>
      <c r="H163" s="46"/>
      <c r="I163" s="47" t="s">
        <v>211</v>
      </c>
      <c r="J163" s="35"/>
      <c r="K163" s="35"/>
      <c r="L163" s="35"/>
    </row>
    <row r="164" ht="15" customHeight="1" spans="1:12">
      <c r="A164" s="42">
        <v>8</v>
      </c>
      <c r="B164" s="45" t="s">
        <v>14</v>
      </c>
      <c r="C164" s="42"/>
      <c r="D164" s="42" t="s">
        <v>15</v>
      </c>
      <c r="E164" s="46">
        <v>70</v>
      </c>
      <c r="F164" s="42"/>
      <c r="G164" s="46">
        <v>25</v>
      </c>
      <c r="H164" s="46"/>
      <c r="I164" s="47" t="s">
        <v>16</v>
      </c>
      <c r="J164" s="35"/>
      <c r="K164" s="35"/>
      <c r="L164" s="35"/>
    </row>
    <row r="165" s="16" customFormat="1" ht="15" customHeight="1" spans="1:12">
      <c r="A165" s="42">
        <v>9</v>
      </c>
      <c r="B165" s="74" t="s">
        <v>212</v>
      </c>
      <c r="C165" s="42"/>
      <c r="D165" s="42" t="s">
        <v>45</v>
      </c>
      <c r="E165" s="115">
        <v>0</v>
      </c>
      <c r="F165" s="42"/>
      <c r="G165" s="42">
        <v>50</v>
      </c>
      <c r="H165" s="42"/>
      <c r="I165" s="124" t="s">
        <v>213</v>
      </c>
      <c r="J165" s="125"/>
      <c r="K165" s="125"/>
      <c r="L165" s="125"/>
    </row>
    <row r="166" s="16" customFormat="1" ht="15" customHeight="1" spans="1:12">
      <c r="A166" s="42">
        <v>10</v>
      </c>
      <c r="B166" s="74" t="s">
        <v>214</v>
      </c>
      <c r="C166" s="42"/>
      <c r="D166" s="42" t="s">
        <v>45</v>
      </c>
      <c r="E166" s="115">
        <v>50</v>
      </c>
      <c r="F166" s="42"/>
      <c r="G166" s="42">
        <v>100</v>
      </c>
      <c r="H166" s="42"/>
      <c r="I166" s="124" t="s">
        <v>215</v>
      </c>
      <c r="J166" s="125"/>
      <c r="K166" s="125"/>
      <c r="L166" s="125"/>
    </row>
    <row r="167" ht="15" customHeight="1" spans="1:12">
      <c r="A167" s="42">
        <v>11</v>
      </c>
      <c r="B167" s="131" t="s">
        <v>216</v>
      </c>
      <c r="C167" s="42"/>
      <c r="D167" s="42" t="s">
        <v>45</v>
      </c>
      <c r="E167" s="46">
        <v>120</v>
      </c>
      <c r="F167" s="42"/>
      <c r="G167" s="46">
        <v>160</v>
      </c>
      <c r="H167" s="46"/>
      <c r="I167" s="47" t="s">
        <v>211</v>
      </c>
      <c r="J167" s="35"/>
      <c r="K167" s="35"/>
      <c r="L167" s="35"/>
    </row>
    <row r="168" s="17" customFormat="1" ht="15" customHeight="1" spans="1:12">
      <c r="A168" s="42">
        <v>12</v>
      </c>
      <c r="B168" s="126" t="s">
        <v>163</v>
      </c>
      <c r="C168" s="51"/>
      <c r="D168" s="51" t="s">
        <v>45</v>
      </c>
      <c r="E168" s="114">
        <v>25</v>
      </c>
      <c r="F168" s="51"/>
      <c r="G168" s="114">
        <v>45</v>
      </c>
      <c r="H168" s="114"/>
      <c r="I168" s="64" t="s">
        <v>164</v>
      </c>
      <c r="J168" s="66"/>
      <c r="K168" s="66"/>
      <c r="L168" s="66"/>
    </row>
    <row r="169" s="10" customFormat="1" ht="14.15" customHeight="1" spans="1:12">
      <c r="A169" s="42">
        <v>13</v>
      </c>
      <c r="B169" s="64" t="s">
        <v>217</v>
      </c>
      <c r="C169" s="51"/>
      <c r="D169" s="51" t="s">
        <v>21</v>
      </c>
      <c r="E169" s="114">
        <v>23</v>
      </c>
      <c r="F169" s="51"/>
      <c r="G169" s="114">
        <v>16</v>
      </c>
      <c r="H169" s="51"/>
      <c r="I169" s="65" t="s">
        <v>218</v>
      </c>
      <c r="J169" s="85"/>
      <c r="K169" s="85"/>
      <c r="L169" s="85"/>
    </row>
    <row r="170" s="8" customFormat="1" ht="14.15" customHeight="1" spans="1:12">
      <c r="A170" s="42">
        <v>14</v>
      </c>
      <c r="B170" s="47" t="s">
        <v>219</v>
      </c>
      <c r="C170" s="42"/>
      <c r="D170" s="42" t="s">
        <v>45</v>
      </c>
      <c r="E170" s="46">
        <v>120</v>
      </c>
      <c r="F170" s="42"/>
      <c r="G170" s="46">
        <v>180</v>
      </c>
      <c r="H170" s="42"/>
      <c r="I170" s="43" t="s">
        <v>220</v>
      </c>
      <c r="J170" s="75"/>
      <c r="K170" s="75"/>
      <c r="L170" s="75"/>
    </row>
    <row r="171" s="8" customFormat="1" ht="14.15" customHeight="1" spans="1:12">
      <c r="A171" s="42">
        <v>15</v>
      </c>
      <c r="B171" s="127" t="s">
        <v>169</v>
      </c>
      <c r="C171" s="128"/>
      <c r="D171" s="128" t="s">
        <v>15</v>
      </c>
      <c r="E171" s="129">
        <v>65</v>
      </c>
      <c r="F171" s="42"/>
      <c r="G171" s="129">
        <v>100</v>
      </c>
      <c r="H171" s="42"/>
      <c r="I171" s="130" t="s">
        <v>170</v>
      </c>
      <c r="J171"/>
      <c r="K171"/>
      <c r="L171"/>
    </row>
    <row r="172" s="20" customFormat="1" ht="15" customHeight="1" spans="1:12">
      <c r="A172" s="42">
        <v>16</v>
      </c>
      <c r="B172" s="159" t="s">
        <v>221</v>
      </c>
      <c r="C172" s="42"/>
      <c r="D172" s="42" t="s">
        <v>18</v>
      </c>
      <c r="E172" s="160"/>
      <c r="F172" s="42"/>
      <c r="G172" s="160">
        <v>5</v>
      </c>
      <c r="H172" s="42"/>
      <c r="I172" s="161" t="s">
        <v>222</v>
      </c>
    </row>
    <row r="173" ht="15" customHeight="1" spans="1:12">
      <c r="A173" s="42">
        <v>17</v>
      </c>
      <c r="B173" s="45" t="s">
        <v>223</v>
      </c>
      <c r="C173" s="42"/>
      <c r="D173" s="42" t="s">
        <v>45</v>
      </c>
      <c r="E173" s="46">
        <v>180</v>
      </c>
      <c r="F173" s="42"/>
      <c r="G173" s="46">
        <v>320</v>
      </c>
      <c r="H173" s="42"/>
      <c r="I173" s="43" t="s">
        <v>224</v>
      </c>
      <c r="J173" s="35"/>
      <c r="K173" s="35"/>
      <c r="L173" s="35"/>
    </row>
    <row r="174" customFormat="1" ht="15" customHeight="1" spans="1:12">
      <c r="A174" s="42">
        <v>18</v>
      </c>
      <c r="B174" s="45" t="s">
        <v>225</v>
      </c>
      <c r="C174" s="42"/>
      <c r="D174" s="42" t="s">
        <v>45</v>
      </c>
      <c r="E174" s="46">
        <v>200</v>
      </c>
      <c r="F174" s="42"/>
      <c r="G174" s="46">
        <v>150</v>
      </c>
      <c r="H174" s="42"/>
      <c r="I174" s="43" t="s">
        <v>226</v>
      </c>
      <c r="J174" s="35"/>
      <c r="K174" s="35"/>
      <c r="L174" s="35"/>
    </row>
    <row r="175" customFormat="1" ht="15" customHeight="1" spans="1:12">
      <c r="A175" s="42">
        <v>19</v>
      </c>
      <c r="B175" s="45" t="s">
        <v>227</v>
      </c>
      <c r="C175" s="42"/>
      <c r="D175" s="42" t="s">
        <v>45</v>
      </c>
      <c r="E175" s="46">
        <v>130</v>
      </c>
      <c r="F175" s="42"/>
      <c r="G175" s="46">
        <v>70</v>
      </c>
      <c r="H175" s="42"/>
      <c r="I175" s="43" t="s">
        <v>228</v>
      </c>
      <c r="J175" s="35"/>
      <c r="K175" s="35"/>
      <c r="L175" s="35"/>
    </row>
    <row r="176" s="15" customFormat="1" ht="15.75" customHeight="1" spans="1:12">
      <c r="A176" s="42">
        <v>20</v>
      </c>
      <c r="B176" s="162" t="s">
        <v>229</v>
      </c>
      <c r="C176" s="42"/>
      <c r="D176" s="128" t="s">
        <v>230</v>
      </c>
      <c r="E176" s="129">
        <v>4</v>
      </c>
      <c r="F176" s="128"/>
      <c r="G176" s="129">
        <v>2.5</v>
      </c>
      <c r="H176" s="42"/>
      <c r="I176" s="130" t="s">
        <v>231</v>
      </c>
    </row>
    <row r="177" s="15" customFormat="1" ht="15.75" customHeight="1" spans="1:171">
      <c r="A177" s="42">
        <v>21</v>
      </c>
      <c r="B177" s="127" t="s">
        <v>167</v>
      </c>
      <c r="C177" s="42"/>
      <c r="D177" s="128" t="s">
        <v>15</v>
      </c>
      <c r="E177" s="129">
        <v>25</v>
      </c>
      <c r="F177" s="42"/>
      <c r="G177" s="129">
        <v>48</v>
      </c>
      <c r="H177" s="42"/>
      <c r="I177" s="130" t="s">
        <v>168</v>
      </c>
    </row>
    <row r="178" ht="15" customHeight="1" spans="1:171">
      <c r="A178" s="42">
        <v>22</v>
      </c>
      <c r="B178" s="131" t="s">
        <v>171</v>
      </c>
      <c r="C178" s="42"/>
      <c r="D178" s="42" t="s">
        <v>45</v>
      </c>
      <c r="E178" s="46">
        <v>160</v>
      </c>
      <c r="F178" s="42"/>
      <c r="G178" s="46">
        <v>125</v>
      </c>
      <c r="H178" s="42"/>
      <c r="I178" s="43" t="s">
        <v>172</v>
      </c>
      <c r="J178" s="35"/>
      <c r="K178" s="35"/>
      <c r="L178" s="35"/>
    </row>
    <row r="179" s="8" customFormat="1" ht="14.15" customHeight="1" spans="1:171">
      <c r="A179" s="42">
        <v>23</v>
      </c>
      <c r="B179" s="127" t="s">
        <v>232</v>
      </c>
      <c r="C179" s="128"/>
      <c r="D179" s="128" t="s">
        <v>15</v>
      </c>
      <c r="E179" s="129"/>
      <c r="F179" s="42">
        <f>C179*E179</f>
        <v>0</v>
      </c>
      <c r="G179" s="129">
        <v>85</v>
      </c>
      <c r="H179" s="42">
        <f>SUM(G179*C179)</f>
        <v>0</v>
      </c>
      <c r="I179" s="43" t="s">
        <v>233</v>
      </c>
      <c r="J179"/>
    </row>
    <row r="180" s="5" customFormat="1" ht="17.15" customHeight="1" spans="1:171">
      <c r="A180" s="42" t="s">
        <v>52</v>
      </c>
      <c r="B180" s="72" t="s">
        <v>234</v>
      </c>
      <c r="C180" s="163"/>
      <c r="D180" s="163"/>
      <c r="E180" s="163"/>
      <c r="F180" s="163"/>
      <c r="G180" s="163"/>
      <c r="H180" s="163"/>
      <c r="I180" s="164"/>
      <c r="J180" s="57"/>
      <c r="K180" s="57"/>
      <c r="L180" s="57"/>
      <c r="M180" s="58"/>
      <c r="N180" s="58"/>
      <c r="O180" s="58"/>
      <c r="P180" s="58"/>
      <c r="Q180" s="58"/>
      <c r="R180" s="58"/>
      <c r="S180" s="58"/>
      <c r="T180" s="58"/>
      <c r="U180" s="58"/>
      <c r="V180" s="58"/>
      <c r="W180" s="58"/>
      <c r="X180" s="58"/>
      <c r="Y180" s="58"/>
      <c r="Z180" s="58"/>
      <c r="AA180" s="58"/>
      <c r="AB180" s="58"/>
      <c r="AC180" s="58"/>
      <c r="AD180" s="58"/>
      <c r="AE180" s="58"/>
      <c r="AF180" s="58"/>
      <c r="AG180" s="58"/>
      <c r="AH180" s="58"/>
      <c r="AI180" s="58"/>
      <c r="AJ180" s="58"/>
      <c r="AK180" s="58"/>
      <c r="AL180" s="58"/>
      <c r="AM180" s="58"/>
      <c r="AN180" s="58"/>
      <c r="AO180" s="58"/>
      <c r="AP180" s="58"/>
      <c r="AQ180" s="58"/>
      <c r="AR180" s="58"/>
      <c r="AS180" s="58"/>
      <c r="AT180" s="58"/>
      <c r="AU180" s="58"/>
      <c r="AV180" s="58"/>
      <c r="AW180" s="58"/>
      <c r="AX180" s="58"/>
      <c r="AY180" s="58"/>
      <c r="AZ180" s="58"/>
      <c r="BA180" s="58"/>
      <c r="BB180" s="58"/>
      <c r="BC180" s="58"/>
      <c r="BD180" s="58"/>
      <c r="BE180" s="58"/>
      <c r="BF180" s="58"/>
      <c r="BG180" s="58"/>
      <c r="BH180" s="58"/>
      <c r="BI180" s="58"/>
      <c r="BJ180" s="58"/>
      <c r="BK180" s="58"/>
      <c r="BL180" s="58"/>
      <c r="BM180" s="58"/>
      <c r="BN180" s="58"/>
      <c r="BO180" s="58"/>
      <c r="BP180" s="58"/>
      <c r="BQ180" s="58"/>
      <c r="BR180" s="58"/>
      <c r="BS180" s="58"/>
      <c r="BT180" s="58"/>
      <c r="BU180" s="58"/>
      <c r="BV180" s="58"/>
      <c r="BW180" s="58"/>
      <c r="BX180" s="58"/>
      <c r="BY180" s="58"/>
      <c r="BZ180" s="58"/>
      <c r="CA180" s="58"/>
      <c r="CB180" s="58"/>
      <c r="CC180" s="58"/>
      <c r="CD180" s="58"/>
      <c r="CE180" s="58"/>
      <c r="CF180" s="58"/>
      <c r="CG180" s="58"/>
      <c r="CH180" s="58"/>
      <c r="CI180" s="58"/>
      <c r="CJ180" s="58"/>
      <c r="CK180" s="58"/>
      <c r="CL180" s="58"/>
      <c r="CM180" s="58"/>
      <c r="CN180" s="58"/>
      <c r="CO180" s="58"/>
      <c r="CP180" s="58"/>
      <c r="CQ180" s="58"/>
      <c r="CR180" s="58"/>
      <c r="CS180" s="58"/>
      <c r="CT180" s="58"/>
      <c r="CU180" s="58"/>
      <c r="CV180" s="58"/>
      <c r="CW180" s="58"/>
      <c r="CX180" s="58"/>
      <c r="CY180" s="58"/>
      <c r="CZ180" s="58"/>
      <c r="DA180" s="58"/>
      <c r="DB180" s="58"/>
      <c r="DC180" s="58"/>
      <c r="DD180" s="58"/>
      <c r="DE180" s="58"/>
      <c r="DF180" s="58"/>
      <c r="DG180" s="58"/>
      <c r="DH180" s="58"/>
      <c r="DI180" s="58"/>
      <c r="DJ180" s="58"/>
      <c r="DK180" s="58"/>
      <c r="DL180" s="58"/>
      <c r="DM180" s="58"/>
      <c r="DN180" s="58"/>
      <c r="DO180" s="58"/>
      <c r="DP180" s="58"/>
      <c r="DQ180" s="58"/>
      <c r="DR180" s="58"/>
      <c r="DS180" s="58"/>
      <c r="DT180" s="58"/>
      <c r="DU180" s="58"/>
      <c r="DV180" s="58"/>
      <c r="DW180" s="58"/>
      <c r="DX180" s="58"/>
      <c r="DY180" s="58"/>
      <c r="DZ180" s="58"/>
      <c r="EA180" s="58"/>
      <c r="EB180" s="58"/>
      <c r="EC180" s="58"/>
      <c r="ED180" s="58"/>
      <c r="EE180" s="58"/>
      <c r="EF180" s="58"/>
      <c r="EG180" s="58"/>
      <c r="EH180" s="58"/>
      <c r="EI180" s="58"/>
      <c r="EJ180" s="58"/>
      <c r="EK180" s="58"/>
      <c r="EL180" s="58"/>
      <c r="EM180" s="58"/>
      <c r="EN180" s="58"/>
      <c r="EO180" s="58"/>
      <c r="EP180" s="58"/>
      <c r="EQ180" s="58"/>
      <c r="ER180" s="58"/>
      <c r="ES180" s="58"/>
      <c r="ET180" s="58"/>
      <c r="EU180" s="58"/>
      <c r="EV180" s="58"/>
      <c r="EW180" s="58"/>
      <c r="EX180" s="58"/>
      <c r="EY180" s="58"/>
      <c r="EZ180" s="58"/>
      <c r="FA180" s="58"/>
      <c r="FB180" s="58"/>
      <c r="FC180" s="58"/>
      <c r="FD180" s="58"/>
      <c r="FE180" s="58"/>
      <c r="FF180" s="58"/>
      <c r="FG180" s="58"/>
      <c r="FH180" s="58"/>
      <c r="FI180" s="58"/>
      <c r="FJ180" s="58"/>
      <c r="FK180" s="58"/>
      <c r="FL180" s="58"/>
      <c r="FM180" s="58"/>
      <c r="FN180" s="58"/>
      <c r="FO180" s="61"/>
    </row>
    <row r="181" s="5" customFormat="1" ht="27" customHeight="1" spans="1:171">
      <c r="A181" s="42">
        <v>1</v>
      </c>
      <c r="B181" s="165" t="s">
        <v>235</v>
      </c>
      <c r="C181" s="165"/>
      <c r="D181" s="165"/>
      <c r="E181" s="165"/>
      <c r="F181" s="165"/>
      <c r="G181" s="165"/>
      <c r="H181" s="165"/>
      <c r="I181" s="166"/>
      <c r="J181" s="57"/>
      <c r="K181" s="57"/>
      <c r="L181" s="57"/>
      <c r="M181" s="58"/>
      <c r="N181" s="58"/>
      <c r="O181" s="58"/>
      <c r="P181" s="58"/>
      <c r="Q181" s="58"/>
      <c r="R181" s="58"/>
      <c r="S181" s="58"/>
      <c r="T181" s="58"/>
      <c r="U181" s="58"/>
      <c r="V181" s="58"/>
      <c r="W181" s="58"/>
      <c r="X181" s="58"/>
      <c r="Y181" s="58"/>
      <c r="Z181" s="58"/>
      <c r="AA181" s="58"/>
      <c r="AB181" s="58"/>
      <c r="AC181" s="58"/>
      <c r="AD181" s="58"/>
      <c r="AE181" s="58"/>
      <c r="AF181" s="58"/>
      <c r="AG181" s="58"/>
      <c r="AH181" s="58"/>
      <c r="AI181" s="58"/>
      <c r="AJ181" s="58"/>
      <c r="AK181" s="58"/>
      <c r="AL181" s="58"/>
      <c r="AM181" s="58"/>
      <c r="AN181" s="58"/>
      <c r="AO181" s="58"/>
      <c r="AP181" s="58"/>
      <c r="AQ181" s="58"/>
      <c r="AR181" s="58"/>
      <c r="AS181" s="58"/>
      <c r="AT181" s="58"/>
      <c r="AU181" s="58"/>
      <c r="AV181" s="58"/>
      <c r="AW181" s="58"/>
      <c r="AX181" s="58"/>
      <c r="AY181" s="58"/>
      <c r="AZ181" s="58"/>
      <c r="BA181" s="58"/>
      <c r="BB181" s="58"/>
      <c r="BC181" s="58"/>
      <c r="BD181" s="58"/>
      <c r="BE181" s="58"/>
      <c r="BF181" s="58"/>
      <c r="BG181" s="58"/>
      <c r="BH181" s="58"/>
      <c r="BI181" s="58"/>
      <c r="BJ181" s="58"/>
      <c r="BK181" s="58"/>
      <c r="BL181" s="58"/>
      <c r="BM181" s="58"/>
      <c r="BN181" s="58"/>
      <c r="BO181" s="58"/>
      <c r="BP181" s="58"/>
      <c r="BQ181" s="58"/>
      <c r="BR181" s="58"/>
      <c r="BS181" s="58"/>
      <c r="BT181" s="58"/>
      <c r="BU181" s="58"/>
      <c r="BV181" s="58"/>
      <c r="BW181" s="58"/>
      <c r="BX181" s="58"/>
      <c r="BY181" s="58"/>
      <c r="BZ181" s="58"/>
      <c r="CA181" s="58"/>
      <c r="CB181" s="58"/>
      <c r="CC181" s="58"/>
      <c r="CD181" s="58"/>
      <c r="CE181" s="58"/>
      <c r="CF181" s="58"/>
      <c r="CG181" s="58"/>
      <c r="CH181" s="58"/>
      <c r="CI181" s="58"/>
      <c r="CJ181" s="58"/>
      <c r="CK181" s="58"/>
      <c r="CL181" s="58"/>
      <c r="CM181" s="58"/>
      <c r="CN181" s="58"/>
      <c r="CO181" s="58"/>
      <c r="CP181" s="58"/>
      <c r="CQ181" s="58"/>
      <c r="CR181" s="58"/>
      <c r="CS181" s="58"/>
      <c r="CT181" s="58"/>
      <c r="CU181" s="58"/>
      <c r="CV181" s="58"/>
      <c r="CW181" s="58"/>
      <c r="CX181" s="58"/>
      <c r="CY181" s="58"/>
      <c r="CZ181" s="58"/>
      <c r="DA181" s="58"/>
      <c r="DB181" s="58"/>
      <c r="DC181" s="58"/>
      <c r="DD181" s="58"/>
      <c r="DE181" s="58"/>
      <c r="DF181" s="58"/>
      <c r="DG181" s="58"/>
      <c r="DH181" s="58"/>
      <c r="DI181" s="58"/>
      <c r="DJ181" s="58"/>
      <c r="DK181" s="58"/>
      <c r="DL181" s="58"/>
      <c r="DM181" s="58"/>
      <c r="DN181" s="58"/>
      <c r="DO181" s="58"/>
      <c r="DP181" s="58"/>
      <c r="DQ181" s="58"/>
      <c r="DR181" s="58"/>
      <c r="DS181" s="58"/>
      <c r="DT181" s="58"/>
      <c r="DU181" s="58"/>
      <c r="DV181" s="58"/>
      <c r="DW181" s="58"/>
      <c r="DX181" s="58"/>
      <c r="DY181" s="58"/>
      <c r="DZ181" s="58"/>
      <c r="EA181" s="58"/>
      <c r="EB181" s="58"/>
      <c r="EC181" s="58"/>
      <c r="ED181" s="58"/>
      <c r="EE181" s="58"/>
      <c r="EF181" s="58"/>
      <c r="EG181" s="58"/>
      <c r="EH181" s="58"/>
      <c r="EI181" s="58"/>
      <c r="EJ181" s="58"/>
      <c r="EK181" s="58"/>
      <c r="EL181" s="58"/>
      <c r="EM181" s="58"/>
      <c r="EN181" s="58"/>
      <c r="EO181" s="58"/>
      <c r="EP181" s="58"/>
      <c r="EQ181" s="58"/>
      <c r="ER181" s="58"/>
      <c r="ES181" s="58"/>
      <c r="ET181" s="58"/>
      <c r="EU181" s="58"/>
      <c r="EV181" s="58"/>
      <c r="EW181" s="58"/>
      <c r="EX181" s="58"/>
      <c r="EY181" s="58"/>
      <c r="EZ181" s="58"/>
      <c r="FA181" s="58"/>
      <c r="FB181" s="58"/>
      <c r="FC181" s="58"/>
      <c r="FD181" s="58"/>
      <c r="FE181" s="58"/>
      <c r="FF181" s="58"/>
      <c r="FG181" s="58"/>
      <c r="FH181" s="58"/>
      <c r="FI181" s="58"/>
      <c r="FJ181" s="58"/>
      <c r="FK181" s="58"/>
      <c r="FL181" s="58"/>
      <c r="FM181" s="58"/>
      <c r="FN181" s="58"/>
      <c r="FO181" s="61"/>
    </row>
    <row r="182" s="5" customFormat="1" ht="29" customHeight="1" spans="1:171">
      <c r="A182" s="42">
        <v>2</v>
      </c>
      <c r="B182" s="45" t="s">
        <v>236</v>
      </c>
      <c r="C182" s="45"/>
      <c r="D182" s="45"/>
      <c r="E182" s="45"/>
      <c r="F182" s="45"/>
      <c r="G182" s="45"/>
      <c r="H182" s="45"/>
      <c r="I182" s="154"/>
      <c r="J182" s="57"/>
      <c r="K182" s="57"/>
      <c r="L182" s="57"/>
      <c r="M182" s="58"/>
      <c r="N182" s="58"/>
      <c r="O182" s="58"/>
      <c r="P182" s="58"/>
      <c r="Q182" s="58"/>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8"/>
      <c r="AR182" s="58"/>
      <c r="AS182" s="58"/>
      <c r="AT182" s="58"/>
      <c r="AU182" s="58"/>
      <c r="AV182" s="58"/>
      <c r="AW182" s="58"/>
      <c r="AX182" s="58"/>
      <c r="AY182" s="58"/>
      <c r="AZ182" s="58"/>
      <c r="BA182" s="58"/>
      <c r="BB182" s="58"/>
      <c r="BC182" s="58"/>
      <c r="BD182" s="58"/>
      <c r="BE182" s="58"/>
      <c r="BF182" s="58"/>
      <c r="BG182" s="58"/>
      <c r="BH182" s="58"/>
      <c r="BI182" s="58"/>
      <c r="BJ182" s="58"/>
      <c r="BK182" s="58"/>
      <c r="BL182" s="58"/>
      <c r="BM182" s="58"/>
      <c r="BN182" s="58"/>
      <c r="BO182" s="58"/>
      <c r="BP182" s="58"/>
      <c r="BQ182" s="58"/>
      <c r="BR182" s="58"/>
      <c r="BS182" s="58"/>
      <c r="BT182" s="58"/>
      <c r="BU182" s="58"/>
      <c r="BV182" s="58"/>
      <c r="BW182" s="58"/>
      <c r="BX182" s="58"/>
      <c r="BY182" s="58"/>
      <c r="BZ182" s="58"/>
      <c r="CA182" s="58"/>
      <c r="CB182" s="58"/>
      <c r="CC182" s="58"/>
      <c r="CD182" s="58"/>
      <c r="CE182" s="58"/>
      <c r="CF182" s="58"/>
      <c r="CG182" s="58"/>
      <c r="CH182" s="58"/>
      <c r="CI182" s="58"/>
      <c r="CJ182" s="58"/>
      <c r="CK182" s="58"/>
      <c r="CL182" s="58"/>
      <c r="CM182" s="58"/>
      <c r="CN182" s="58"/>
      <c r="CO182" s="58"/>
      <c r="CP182" s="58"/>
      <c r="CQ182" s="58"/>
      <c r="CR182" s="58"/>
      <c r="CS182" s="58"/>
      <c r="CT182" s="58"/>
      <c r="CU182" s="58"/>
      <c r="CV182" s="58"/>
      <c r="CW182" s="58"/>
      <c r="CX182" s="58"/>
      <c r="CY182" s="58"/>
      <c r="CZ182" s="58"/>
      <c r="DA182" s="58"/>
      <c r="DB182" s="58"/>
      <c r="DC182" s="58"/>
      <c r="DD182" s="58"/>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58"/>
      <c r="EJ182" s="58"/>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61"/>
    </row>
    <row r="183" s="5" customFormat="1" ht="29.25" customHeight="1" spans="1:171">
      <c r="A183" s="42">
        <v>3</v>
      </c>
      <c r="B183" s="165" t="s">
        <v>237</v>
      </c>
      <c r="C183" s="165"/>
      <c r="D183" s="165"/>
      <c r="E183" s="165"/>
      <c r="F183" s="165"/>
      <c r="G183" s="165"/>
      <c r="H183" s="165"/>
      <c r="I183" s="166"/>
      <c r="J183" s="57"/>
      <c r="K183" s="57"/>
      <c r="L183" s="57"/>
      <c r="M183" s="58"/>
      <c r="N183" s="58"/>
      <c r="O183" s="58"/>
      <c r="P183" s="58"/>
      <c r="Q183" s="58"/>
      <c r="R183" s="58"/>
      <c r="S183" s="58"/>
      <c r="T183" s="58"/>
      <c r="U183" s="58"/>
      <c r="V183" s="58"/>
      <c r="W183" s="58"/>
      <c r="X183" s="58"/>
      <c r="Y183" s="58"/>
      <c r="Z183" s="58"/>
      <c r="AA183" s="58"/>
      <c r="AB183" s="58"/>
      <c r="AC183" s="58"/>
      <c r="AD183" s="58"/>
      <c r="AE183" s="58"/>
      <c r="AF183" s="58"/>
      <c r="AG183" s="58"/>
      <c r="AH183" s="58"/>
      <c r="AI183" s="58"/>
      <c r="AJ183" s="58"/>
      <c r="AK183" s="58"/>
      <c r="AL183" s="58"/>
      <c r="AM183" s="58"/>
      <c r="AN183" s="58"/>
      <c r="AO183" s="58"/>
      <c r="AP183" s="58"/>
      <c r="AQ183" s="58"/>
      <c r="AR183" s="58"/>
      <c r="AS183" s="58"/>
      <c r="AT183" s="58"/>
      <c r="AU183" s="58"/>
      <c r="AV183" s="58"/>
      <c r="AW183" s="58"/>
      <c r="AX183" s="58"/>
      <c r="AY183" s="58"/>
      <c r="AZ183" s="58"/>
      <c r="BA183" s="58"/>
      <c r="BB183" s="58"/>
      <c r="BC183" s="58"/>
      <c r="BD183" s="58"/>
      <c r="BE183" s="58"/>
      <c r="BF183" s="58"/>
      <c r="BG183" s="58"/>
      <c r="BH183" s="58"/>
      <c r="BI183" s="58"/>
      <c r="BJ183" s="58"/>
      <c r="BK183" s="58"/>
      <c r="BL183" s="58"/>
      <c r="BM183" s="58"/>
      <c r="BN183" s="58"/>
      <c r="BO183" s="58"/>
      <c r="BP183" s="58"/>
      <c r="BQ183" s="58"/>
      <c r="BR183" s="58"/>
      <c r="BS183" s="58"/>
      <c r="BT183" s="58"/>
      <c r="BU183" s="58"/>
      <c r="BV183" s="58"/>
      <c r="BW183" s="58"/>
      <c r="BX183" s="58"/>
      <c r="BY183" s="58"/>
      <c r="BZ183" s="58"/>
      <c r="CA183" s="58"/>
      <c r="CB183" s="58"/>
      <c r="CC183" s="58"/>
      <c r="CD183" s="58"/>
      <c r="CE183" s="58"/>
      <c r="CF183" s="58"/>
      <c r="CG183" s="58"/>
      <c r="CH183" s="58"/>
      <c r="CI183" s="58"/>
      <c r="CJ183" s="58"/>
      <c r="CK183" s="58"/>
      <c r="CL183" s="58"/>
      <c r="CM183" s="58"/>
      <c r="CN183" s="58"/>
      <c r="CO183" s="58"/>
      <c r="CP183" s="58"/>
      <c r="CQ183" s="58"/>
      <c r="CR183" s="58"/>
      <c r="CS183" s="58"/>
      <c r="CT183" s="58"/>
      <c r="CU183" s="58"/>
      <c r="CV183" s="58"/>
      <c r="CW183" s="58"/>
      <c r="CX183" s="58"/>
      <c r="CY183" s="58"/>
      <c r="CZ183" s="58"/>
      <c r="DA183" s="58"/>
      <c r="DB183" s="58"/>
      <c r="DC183" s="58"/>
      <c r="DD183" s="58"/>
      <c r="DE183" s="58"/>
      <c r="DF183" s="58"/>
      <c r="DG183" s="58"/>
      <c r="DH183" s="58"/>
      <c r="DI183" s="58"/>
      <c r="DJ183" s="58"/>
      <c r="DK183" s="58"/>
      <c r="DL183" s="58"/>
      <c r="DM183" s="58"/>
      <c r="DN183" s="58"/>
      <c r="DO183" s="58"/>
      <c r="DP183" s="58"/>
      <c r="DQ183" s="58"/>
      <c r="DR183" s="58"/>
      <c r="DS183" s="58"/>
      <c r="DT183" s="58"/>
      <c r="DU183" s="58"/>
      <c r="DV183" s="58"/>
      <c r="DW183" s="58"/>
      <c r="DX183" s="58"/>
      <c r="DY183" s="58"/>
      <c r="DZ183" s="58"/>
      <c r="EA183" s="58"/>
      <c r="EB183" s="58"/>
      <c r="EC183" s="58"/>
      <c r="ED183" s="58"/>
      <c r="EE183" s="58"/>
      <c r="EF183" s="58"/>
      <c r="EG183" s="58"/>
      <c r="EH183" s="58"/>
      <c r="EI183" s="58"/>
      <c r="EJ183" s="58"/>
      <c r="EK183" s="58"/>
      <c r="EL183" s="58"/>
      <c r="EM183" s="58"/>
      <c r="EN183" s="58"/>
      <c r="EO183" s="58"/>
      <c r="EP183" s="58"/>
      <c r="EQ183" s="58"/>
      <c r="ER183" s="58"/>
      <c r="ES183" s="58"/>
      <c r="ET183" s="58"/>
      <c r="EU183" s="58"/>
      <c r="EV183" s="58"/>
      <c r="EW183" s="58"/>
      <c r="EX183" s="58"/>
      <c r="EY183" s="58"/>
      <c r="EZ183" s="58"/>
      <c r="FA183" s="58"/>
      <c r="FB183" s="58"/>
      <c r="FC183" s="58"/>
      <c r="FD183" s="58"/>
      <c r="FE183" s="58"/>
      <c r="FF183" s="58"/>
      <c r="FG183" s="58"/>
      <c r="FH183" s="58"/>
      <c r="FI183" s="58"/>
      <c r="FJ183" s="58"/>
      <c r="FK183" s="58"/>
      <c r="FL183" s="58"/>
      <c r="FM183" s="58"/>
      <c r="FN183" s="58"/>
      <c r="FO183" s="61"/>
    </row>
    <row r="184" s="5" customFormat="1" ht="27.75" customHeight="1" spans="1:171">
      <c r="A184" s="42">
        <v>4</v>
      </c>
      <c r="B184" s="165" t="s">
        <v>238</v>
      </c>
      <c r="C184" s="165"/>
      <c r="D184" s="165"/>
      <c r="E184" s="165"/>
      <c r="F184" s="165"/>
      <c r="G184" s="165"/>
      <c r="H184" s="165"/>
      <c r="I184" s="166"/>
      <c r="J184" s="57"/>
      <c r="K184" s="57"/>
      <c r="L184" s="57"/>
      <c r="M184" s="58"/>
      <c r="N184" s="58"/>
      <c r="O184" s="58"/>
      <c r="P184" s="58"/>
      <c r="Q184" s="58"/>
      <c r="R184" s="58"/>
      <c r="S184" s="58"/>
      <c r="T184" s="58"/>
      <c r="U184" s="58"/>
      <c r="V184" s="58"/>
      <c r="W184" s="58"/>
      <c r="X184" s="58"/>
      <c r="Y184" s="58"/>
      <c r="Z184" s="58"/>
      <c r="AA184" s="58"/>
      <c r="AB184" s="58"/>
      <c r="AC184" s="58"/>
      <c r="AD184" s="58"/>
      <c r="AE184" s="58"/>
      <c r="AF184" s="58"/>
      <c r="AG184" s="58"/>
      <c r="AH184" s="58"/>
      <c r="AI184" s="58"/>
      <c r="AJ184" s="58"/>
      <c r="AK184" s="58"/>
      <c r="AL184" s="58"/>
      <c r="AM184" s="58"/>
      <c r="AN184" s="58"/>
      <c r="AO184" s="58"/>
      <c r="AP184" s="58"/>
      <c r="AQ184" s="58"/>
      <c r="AR184" s="58"/>
      <c r="AS184" s="58"/>
      <c r="AT184" s="58"/>
      <c r="AU184" s="58"/>
      <c r="AV184" s="58"/>
      <c r="AW184" s="58"/>
      <c r="AX184" s="58"/>
      <c r="AY184" s="58"/>
      <c r="AZ184" s="58"/>
      <c r="BA184" s="58"/>
      <c r="BB184" s="58"/>
      <c r="BC184" s="58"/>
      <c r="BD184" s="58"/>
      <c r="BE184" s="58"/>
      <c r="BF184" s="58"/>
      <c r="BG184" s="58"/>
      <c r="BH184" s="58"/>
      <c r="BI184" s="58"/>
      <c r="BJ184" s="58"/>
      <c r="BK184" s="58"/>
      <c r="BL184" s="58"/>
      <c r="BM184" s="58"/>
      <c r="BN184" s="58"/>
      <c r="BO184" s="58"/>
      <c r="BP184" s="58"/>
      <c r="BQ184" s="58"/>
      <c r="BR184" s="58"/>
      <c r="BS184" s="58"/>
      <c r="BT184" s="58"/>
      <c r="BU184" s="58"/>
      <c r="BV184" s="58"/>
      <c r="BW184" s="58"/>
      <c r="BX184" s="58"/>
      <c r="BY184" s="58"/>
      <c r="BZ184" s="58"/>
      <c r="CA184" s="58"/>
      <c r="CB184" s="58"/>
      <c r="CC184" s="58"/>
      <c r="CD184" s="58"/>
      <c r="CE184" s="58"/>
      <c r="CF184" s="58"/>
      <c r="CG184" s="58"/>
      <c r="CH184" s="58"/>
      <c r="CI184" s="58"/>
      <c r="CJ184" s="58"/>
      <c r="CK184" s="58"/>
      <c r="CL184" s="58"/>
      <c r="CM184" s="58"/>
      <c r="CN184" s="58"/>
      <c r="CO184" s="58"/>
      <c r="CP184" s="58"/>
      <c r="CQ184" s="58"/>
      <c r="CR184" s="58"/>
      <c r="CS184" s="58"/>
      <c r="CT184" s="58"/>
      <c r="CU184" s="58"/>
      <c r="CV184" s="58"/>
      <c r="CW184" s="58"/>
      <c r="CX184" s="58"/>
      <c r="CY184" s="58"/>
      <c r="CZ184" s="58"/>
      <c r="DA184" s="58"/>
      <c r="DB184" s="58"/>
      <c r="DC184" s="58"/>
      <c r="DD184" s="58"/>
      <c r="DE184" s="58"/>
      <c r="DF184" s="58"/>
      <c r="DG184" s="58"/>
      <c r="DH184" s="58"/>
      <c r="DI184" s="58"/>
      <c r="DJ184" s="58"/>
      <c r="DK184" s="58"/>
      <c r="DL184" s="58"/>
      <c r="DM184" s="58"/>
      <c r="DN184" s="58"/>
      <c r="DO184" s="58"/>
      <c r="DP184" s="58"/>
      <c r="DQ184" s="58"/>
      <c r="DR184" s="58"/>
      <c r="DS184" s="58"/>
      <c r="DT184" s="58"/>
      <c r="DU184" s="58"/>
      <c r="DV184" s="58"/>
      <c r="DW184" s="58"/>
      <c r="DX184" s="58"/>
      <c r="DY184" s="58"/>
      <c r="DZ184" s="58"/>
      <c r="EA184" s="58"/>
      <c r="EB184" s="58"/>
      <c r="EC184" s="58"/>
      <c r="ED184" s="58"/>
      <c r="EE184" s="58"/>
      <c r="EF184" s="58"/>
      <c r="EG184" s="58"/>
      <c r="EH184" s="58"/>
      <c r="EI184" s="58"/>
      <c r="EJ184" s="58"/>
      <c r="EK184" s="58"/>
      <c r="EL184" s="58"/>
      <c r="EM184" s="58"/>
      <c r="EN184" s="58"/>
      <c r="EO184" s="58"/>
      <c r="EP184" s="58"/>
      <c r="EQ184" s="58"/>
      <c r="ER184" s="58"/>
      <c r="ES184" s="58"/>
      <c r="ET184" s="58"/>
      <c r="EU184" s="58"/>
      <c r="EV184" s="58"/>
      <c r="EW184" s="58"/>
      <c r="EX184" s="58"/>
      <c r="EY184" s="58"/>
      <c r="EZ184" s="58"/>
      <c r="FA184" s="58"/>
      <c r="FB184" s="58"/>
      <c r="FC184" s="58"/>
      <c r="FD184" s="58"/>
      <c r="FE184" s="58"/>
      <c r="FF184" s="58"/>
      <c r="FG184" s="58"/>
      <c r="FH184" s="58"/>
      <c r="FI184" s="58"/>
      <c r="FJ184" s="58"/>
      <c r="FK184" s="58"/>
      <c r="FL184" s="58"/>
      <c r="FM184" s="58"/>
      <c r="FN184" s="58"/>
      <c r="FO184" s="61"/>
    </row>
    <row r="185" s="5" customFormat="1" ht="57" customHeight="1" spans="1:171">
      <c r="A185" s="42">
        <v>5</v>
      </c>
      <c r="B185" s="165" t="s">
        <v>239</v>
      </c>
      <c r="C185" s="165"/>
      <c r="D185" s="165"/>
      <c r="E185" s="165"/>
      <c r="F185" s="165"/>
      <c r="G185" s="165"/>
      <c r="H185" s="165"/>
      <c r="I185" s="166"/>
      <c r="J185" s="57"/>
      <c r="K185" s="57"/>
      <c r="L185" s="57"/>
      <c r="M185" s="58"/>
      <c r="N185" s="58"/>
      <c r="O185" s="58"/>
      <c r="P185" s="58"/>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8"/>
      <c r="AR185" s="58"/>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58"/>
      <c r="BW185" s="58"/>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58"/>
      <c r="DD185" s="58"/>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58"/>
      <c r="EJ185" s="58"/>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61"/>
    </row>
    <row r="186" s="5" customFormat="1" ht="31.5" customHeight="1" spans="1:171">
      <c r="A186" s="42">
        <v>6</v>
      </c>
      <c r="B186" s="45" t="s">
        <v>240</v>
      </c>
      <c r="C186" s="45"/>
      <c r="D186" s="45"/>
      <c r="E186" s="45"/>
      <c r="F186" s="45"/>
      <c r="G186" s="45"/>
      <c r="H186" s="45"/>
      <c r="I186" s="154"/>
      <c r="J186" s="57"/>
      <c r="K186" s="57"/>
      <c r="L186" s="57"/>
      <c r="M186" s="58"/>
      <c r="N186" s="58"/>
      <c r="O186" s="58"/>
      <c r="P186" s="58"/>
      <c r="Q186" s="58"/>
      <c r="R186" s="58"/>
      <c r="S186" s="58"/>
      <c r="T186" s="58"/>
      <c r="U186" s="58"/>
      <c r="V186" s="58"/>
      <c r="W186" s="58"/>
      <c r="X186" s="58"/>
      <c r="Y186" s="58"/>
      <c r="Z186" s="58"/>
      <c r="AA186" s="58"/>
      <c r="AB186" s="58"/>
      <c r="AC186" s="58"/>
      <c r="AD186" s="58"/>
      <c r="AE186" s="58"/>
      <c r="AF186" s="58"/>
      <c r="AG186" s="58"/>
      <c r="AH186" s="58"/>
      <c r="AI186" s="58"/>
      <c r="AJ186" s="58"/>
      <c r="AK186" s="58"/>
      <c r="AL186" s="58"/>
      <c r="AM186" s="58"/>
      <c r="AN186" s="58"/>
      <c r="AO186" s="58"/>
      <c r="AP186" s="58"/>
      <c r="AQ186" s="58"/>
      <c r="AR186" s="58"/>
      <c r="AS186" s="58"/>
      <c r="AT186" s="58"/>
      <c r="AU186" s="58"/>
      <c r="AV186" s="58"/>
      <c r="AW186" s="58"/>
      <c r="AX186" s="58"/>
      <c r="AY186" s="58"/>
      <c r="AZ186" s="58"/>
      <c r="BA186" s="58"/>
      <c r="BB186" s="58"/>
      <c r="BC186" s="58"/>
      <c r="BD186" s="58"/>
      <c r="BE186" s="58"/>
      <c r="BF186" s="58"/>
      <c r="BG186" s="58"/>
      <c r="BH186" s="58"/>
      <c r="BI186" s="58"/>
      <c r="BJ186" s="58"/>
      <c r="BK186" s="58"/>
      <c r="BL186" s="58"/>
      <c r="BM186" s="58"/>
      <c r="BN186" s="58"/>
      <c r="BO186" s="58"/>
      <c r="BP186" s="58"/>
      <c r="BQ186" s="58"/>
      <c r="BR186" s="58"/>
      <c r="BS186" s="58"/>
      <c r="BT186" s="58"/>
      <c r="BU186" s="58"/>
      <c r="BV186" s="58"/>
      <c r="BW186" s="58"/>
      <c r="BX186" s="58"/>
      <c r="BY186" s="58"/>
      <c r="BZ186" s="58"/>
      <c r="CA186" s="58"/>
      <c r="CB186" s="58"/>
      <c r="CC186" s="58"/>
      <c r="CD186" s="58"/>
      <c r="CE186" s="58"/>
      <c r="CF186" s="58"/>
      <c r="CG186" s="58"/>
      <c r="CH186" s="58"/>
      <c r="CI186" s="58"/>
      <c r="CJ186" s="58"/>
      <c r="CK186" s="58"/>
      <c r="CL186" s="58"/>
      <c r="CM186" s="58"/>
      <c r="CN186" s="58"/>
      <c r="CO186" s="58"/>
      <c r="CP186" s="58"/>
      <c r="CQ186" s="58"/>
      <c r="CR186" s="58"/>
      <c r="CS186" s="58"/>
      <c r="CT186" s="58"/>
      <c r="CU186" s="58"/>
      <c r="CV186" s="58"/>
      <c r="CW186" s="58"/>
      <c r="CX186" s="58"/>
      <c r="CY186" s="58"/>
      <c r="CZ186" s="58"/>
      <c r="DA186" s="58"/>
      <c r="DB186" s="58"/>
      <c r="DC186" s="58"/>
      <c r="DD186" s="58"/>
      <c r="DE186" s="58"/>
      <c r="DF186" s="58"/>
      <c r="DG186" s="58"/>
      <c r="DH186" s="58"/>
      <c r="DI186" s="58"/>
      <c r="DJ186" s="58"/>
      <c r="DK186" s="58"/>
      <c r="DL186" s="58"/>
      <c r="DM186" s="58"/>
      <c r="DN186" s="58"/>
      <c r="DO186" s="58"/>
      <c r="DP186" s="58"/>
      <c r="DQ186" s="58"/>
      <c r="DR186" s="58"/>
      <c r="DS186" s="58"/>
      <c r="DT186" s="58"/>
      <c r="DU186" s="58"/>
      <c r="DV186" s="58"/>
      <c r="DW186" s="58"/>
      <c r="DX186" s="58"/>
      <c r="DY186" s="58"/>
      <c r="DZ186" s="58"/>
      <c r="EA186" s="58"/>
      <c r="EB186" s="58"/>
      <c r="EC186" s="58"/>
      <c r="ED186" s="58"/>
      <c r="EE186" s="58"/>
      <c r="EF186" s="58"/>
      <c r="EG186" s="58"/>
      <c r="EH186" s="58"/>
      <c r="EI186" s="58"/>
      <c r="EJ186" s="58"/>
      <c r="EK186" s="58"/>
      <c r="EL186" s="58"/>
      <c r="EM186" s="58"/>
      <c r="EN186" s="58"/>
      <c r="EO186" s="58"/>
      <c r="EP186" s="58"/>
      <c r="EQ186" s="58"/>
      <c r="ER186" s="58"/>
      <c r="ES186" s="58"/>
      <c r="ET186" s="58"/>
      <c r="EU186" s="58"/>
      <c r="EV186" s="58"/>
      <c r="EW186" s="58"/>
      <c r="EX186" s="58"/>
      <c r="EY186" s="58"/>
      <c r="EZ186" s="58"/>
      <c r="FA186" s="58"/>
      <c r="FB186" s="58"/>
      <c r="FC186" s="58"/>
      <c r="FD186" s="58"/>
      <c r="FE186" s="58"/>
      <c r="FF186" s="58"/>
      <c r="FG186" s="58"/>
      <c r="FH186" s="58"/>
      <c r="FI186" s="58"/>
      <c r="FJ186" s="58"/>
      <c r="FK186" s="58"/>
      <c r="FL186" s="58"/>
      <c r="FM186" s="58"/>
      <c r="FN186" s="58"/>
      <c r="FO186" s="61"/>
    </row>
    <row r="187" s="5" customFormat="1" ht="16.5" customHeight="1" spans="1:171">
      <c r="A187" s="42">
        <v>7</v>
      </c>
      <c r="B187" s="165" t="s">
        <v>241</v>
      </c>
      <c r="C187" s="165"/>
      <c r="D187" s="165"/>
      <c r="E187" s="165"/>
      <c r="F187" s="165"/>
      <c r="G187" s="165"/>
      <c r="H187" s="165"/>
      <c r="I187" s="166"/>
      <c r="J187" s="57"/>
      <c r="K187" s="57"/>
      <c r="L187" s="57"/>
      <c r="M187" s="58"/>
      <c r="N187" s="58"/>
      <c r="O187" s="58"/>
      <c r="P187" s="58"/>
      <c r="Q187" s="58"/>
      <c r="R187" s="58"/>
      <c r="S187" s="58"/>
      <c r="T187" s="58"/>
      <c r="U187" s="58"/>
      <c r="V187" s="58"/>
      <c r="W187" s="58"/>
      <c r="X187" s="58"/>
      <c r="Y187" s="58"/>
      <c r="Z187" s="58"/>
      <c r="AA187" s="58"/>
      <c r="AB187" s="58"/>
      <c r="AC187" s="58"/>
      <c r="AD187" s="58"/>
      <c r="AE187" s="58"/>
      <c r="AF187" s="58"/>
      <c r="AG187" s="58"/>
      <c r="AH187" s="58"/>
      <c r="AI187" s="58"/>
      <c r="AJ187" s="58"/>
      <c r="AK187" s="58"/>
      <c r="AL187" s="58"/>
      <c r="AM187" s="58"/>
      <c r="AN187" s="58"/>
      <c r="AO187" s="58"/>
      <c r="AP187" s="58"/>
      <c r="AQ187" s="58"/>
      <c r="AR187" s="58"/>
      <c r="AS187" s="58"/>
      <c r="AT187" s="58"/>
      <c r="AU187" s="58"/>
      <c r="AV187" s="58"/>
      <c r="AW187" s="58"/>
      <c r="AX187" s="58"/>
      <c r="AY187" s="58"/>
      <c r="AZ187" s="58"/>
      <c r="BA187" s="58"/>
      <c r="BB187" s="58"/>
      <c r="BC187" s="58"/>
      <c r="BD187" s="58"/>
      <c r="BE187" s="58"/>
      <c r="BF187" s="58"/>
      <c r="BG187" s="58"/>
      <c r="BH187" s="58"/>
      <c r="BI187" s="58"/>
      <c r="BJ187" s="58"/>
      <c r="BK187" s="58"/>
      <c r="BL187" s="58"/>
      <c r="BM187" s="58"/>
      <c r="BN187" s="58"/>
      <c r="BO187" s="58"/>
      <c r="BP187" s="58"/>
      <c r="BQ187" s="58"/>
      <c r="BR187" s="58"/>
      <c r="BS187" s="58"/>
      <c r="BT187" s="58"/>
      <c r="BU187" s="58"/>
      <c r="BV187" s="58"/>
      <c r="BW187" s="58"/>
      <c r="BX187" s="58"/>
      <c r="BY187" s="58"/>
      <c r="BZ187" s="58"/>
      <c r="CA187" s="58"/>
      <c r="CB187" s="58"/>
      <c r="CC187" s="58"/>
      <c r="CD187" s="58"/>
      <c r="CE187" s="58"/>
      <c r="CF187" s="58"/>
      <c r="CG187" s="58"/>
      <c r="CH187" s="58"/>
      <c r="CI187" s="58"/>
      <c r="CJ187" s="58"/>
      <c r="CK187" s="58"/>
      <c r="CL187" s="58"/>
      <c r="CM187" s="58"/>
      <c r="CN187" s="58"/>
      <c r="CO187" s="58"/>
      <c r="CP187" s="58"/>
      <c r="CQ187" s="58"/>
      <c r="CR187" s="58"/>
      <c r="CS187" s="58"/>
      <c r="CT187" s="58"/>
      <c r="CU187" s="58"/>
      <c r="CV187" s="58"/>
      <c r="CW187" s="58"/>
      <c r="CX187" s="58"/>
      <c r="CY187" s="58"/>
      <c r="CZ187" s="58"/>
      <c r="DA187" s="58"/>
      <c r="DB187" s="58"/>
      <c r="DC187" s="58"/>
      <c r="DD187" s="58"/>
      <c r="DE187" s="58"/>
      <c r="DF187" s="58"/>
      <c r="DG187" s="58"/>
      <c r="DH187" s="58"/>
      <c r="DI187" s="58"/>
      <c r="DJ187" s="58"/>
      <c r="DK187" s="58"/>
      <c r="DL187" s="58"/>
      <c r="DM187" s="58"/>
      <c r="DN187" s="58"/>
      <c r="DO187" s="58"/>
      <c r="DP187" s="58"/>
      <c r="DQ187" s="58"/>
      <c r="DR187" s="58"/>
      <c r="DS187" s="58"/>
      <c r="DT187" s="58"/>
      <c r="DU187" s="58"/>
      <c r="DV187" s="58"/>
      <c r="DW187" s="58"/>
      <c r="DX187" s="58"/>
      <c r="DY187" s="58"/>
      <c r="DZ187" s="58"/>
      <c r="EA187" s="58"/>
      <c r="EB187" s="58"/>
      <c r="EC187" s="58"/>
      <c r="ED187" s="58"/>
      <c r="EE187" s="58"/>
      <c r="EF187" s="58"/>
      <c r="EG187" s="58"/>
      <c r="EH187" s="58"/>
      <c r="EI187" s="58"/>
      <c r="EJ187" s="58"/>
      <c r="EK187" s="58"/>
      <c r="EL187" s="58"/>
      <c r="EM187" s="58"/>
      <c r="EN187" s="58"/>
      <c r="EO187" s="58"/>
      <c r="EP187" s="58"/>
      <c r="EQ187" s="58"/>
      <c r="ER187" s="58"/>
      <c r="ES187" s="58"/>
      <c r="ET187" s="58"/>
      <c r="EU187" s="58"/>
      <c r="EV187" s="58"/>
      <c r="EW187" s="58"/>
      <c r="EX187" s="58"/>
      <c r="EY187" s="58"/>
      <c r="EZ187" s="58"/>
      <c r="FA187" s="58"/>
      <c r="FB187" s="58"/>
      <c r="FC187" s="58"/>
      <c r="FD187" s="58"/>
      <c r="FE187" s="58"/>
      <c r="FF187" s="58"/>
      <c r="FG187" s="58"/>
      <c r="FH187" s="58"/>
      <c r="FI187" s="58"/>
      <c r="FJ187" s="58"/>
      <c r="FK187" s="58"/>
      <c r="FL187" s="58"/>
      <c r="FM187" s="58"/>
      <c r="FN187" s="58"/>
      <c r="FO187" s="61"/>
    </row>
    <row r="188" s="5" customFormat="1" ht="16" customHeight="1" spans="1:171">
      <c r="A188" s="42">
        <v>8</v>
      </c>
      <c r="B188" s="165" t="s">
        <v>242</v>
      </c>
      <c r="C188" s="165"/>
      <c r="D188" s="165"/>
      <c r="E188" s="165"/>
      <c r="F188" s="165"/>
      <c r="G188" s="165"/>
      <c r="H188" s="165"/>
      <c r="I188" s="166"/>
      <c r="J188" s="57"/>
      <c r="K188" s="57"/>
      <c r="L188" s="57"/>
      <c r="M188" s="58"/>
      <c r="N188" s="58"/>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8"/>
      <c r="AR188" s="58"/>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58"/>
      <c r="BW188" s="58"/>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58"/>
      <c r="DD188" s="58"/>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58"/>
      <c r="EJ188" s="58"/>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61"/>
    </row>
    <row r="189" s="5" customFormat="1" ht="16" customHeight="1" spans="1:171">
      <c r="A189" s="42">
        <v>9</v>
      </c>
      <c r="B189" s="165" t="s">
        <v>243</v>
      </c>
      <c r="C189" s="165"/>
      <c r="D189" s="165"/>
      <c r="E189" s="165"/>
      <c r="F189" s="165"/>
      <c r="G189" s="165"/>
      <c r="H189" s="165"/>
      <c r="I189" s="166"/>
      <c r="J189" s="57"/>
      <c r="K189" s="57"/>
      <c r="L189" s="57"/>
      <c r="M189" s="58"/>
      <c r="N189" s="58"/>
      <c r="O189" s="58"/>
      <c r="P189" s="58"/>
      <c r="Q189" s="58"/>
      <c r="R189" s="58"/>
      <c r="S189" s="58"/>
      <c r="T189" s="58"/>
      <c r="U189" s="58"/>
      <c r="V189" s="58"/>
      <c r="W189" s="58"/>
      <c r="X189" s="58"/>
      <c r="Y189" s="58"/>
      <c r="Z189" s="58"/>
      <c r="AA189" s="58"/>
      <c r="AB189" s="58"/>
      <c r="AC189" s="58"/>
      <c r="AD189" s="58"/>
      <c r="AE189" s="58"/>
      <c r="AF189" s="58"/>
      <c r="AG189" s="58"/>
      <c r="AH189" s="58"/>
      <c r="AI189" s="58"/>
      <c r="AJ189" s="58"/>
      <c r="AK189" s="58"/>
      <c r="AL189" s="58"/>
      <c r="AM189" s="58"/>
      <c r="AN189" s="58"/>
      <c r="AO189" s="58"/>
      <c r="AP189" s="58"/>
      <c r="AQ189" s="58"/>
      <c r="AR189" s="58"/>
      <c r="AS189" s="58"/>
      <c r="AT189" s="58"/>
      <c r="AU189" s="58"/>
      <c r="AV189" s="58"/>
      <c r="AW189" s="58"/>
      <c r="AX189" s="58"/>
      <c r="AY189" s="58"/>
      <c r="AZ189" s="58"/>
      <c r="BA189" s="58"/>
      <c r="BB189" s="58"/>
      <c r="BC189" s="58"/>
      <c r="BD189" s="58"/>
      <c r="BE189" s="58"/>
      <c r="BF189" s="58"/>
      <c r="BG189" s="58"/>
      <c r="BH189" s="58"/>
      <c r="BI189" s="58"/>
      <c r="BJ189" s="58"/>
      <c r="BK189" s="58"/>
      <c r="BL189" s="58"/>
      <c r="BM189" s="58"/>
      <c r="BN189" s="58"/>
      <c r="BO189" s="58"/>
      <c r="BP189" s="58"/>
      <c r="BQ189" s="58"/>
      <c r="BR189" s="58"/>
      <c r="BS189" s="58"/>
      <c r="BT189" s="58"/>
      <c r="BU189" s="58"/>
      <c r="BV189" s="58"/>
      <c r="BW189" s="58"/>
      <c r="BX189" s="58"/>
      <c r="BY189" s="58"/>
      <c r="BZ189" s="58"/>
      <c r="CA189" s="58"/>
      <c r="CB189" s="58"/>
      <c r="CC189" s="58"/>
      <c r="CD189" s="58"/>
      <c r="CE189" s="58"/>
      <c r="CF189" s="58"/>
      <c r="CG189" s="58"/>
      <c r="CH189" s="58"/>
      <c r="CI189" s="58"/>
      <c r="CJ189" s="58"/>
      <c r="CK189" s="58"/>
      <c r="CL189" s="58"/>
      <c r="CM189" s="58"/>
      <c r="CN189" s="58"/>
      <c r="CO189" s="58"/>
      <c r="CP189" s="58"/>
      <c r="CQ189" s="58"/>
      <c r="CR189" s="58"/>
      <c r="CS189" s="58"/>
      <c r="CT189" s="58"/>
      <c r="CU189" s="58"/>
      <c r="CV189" s="58"/>
      <c r="CW189" s="58"/>
      <c r="CX189" s="58"/>
      <c r="CY189" s="58"/>
      <c r="CZ189" s="58"/>
      <c r="DA189" s="58"/>
      <c r="DB189" s="58"/>
      <c r="DC189" s="58"/>
      <c r="DD189" s="58"/>
      <c r="DE189" s="58"/>
      <c r="DF189" s="58"/>
      <c r="DG189" s="58"/>
      <c r="DH189" s="58"/>
      <c r="DI189" s="58"/>
      <c r="DJ189" s="58"/>
      <c r="DK189" s="58"/>
      <c r="DL189" s="58"/>
      <c r="DM189" s="58"/>
      <c r="DN189" s="58"/>
      <c r="DO189" s="58"/>
      <c r="DP189" s="58"/>
      <c r="DQ189" s="58"/>
      <c r="DR189" s="58"/>
      <c r="DS189" s="58"/>
      <c r="DT189" s="58"/>
      <c r="DU189" s="58"/>
      <c r="DV189" s="58"/>
      <c r="DW189" s="58"/>
      <c r="DX189" s="58"/>
      <c r="DY189" s="58"/>
      <c r="DZ189" s="58"/>
      <c r="EA189" s="58"/>
      <c r="EB189" s="58"/>
      <c r="EC189" s="58"/>
      <c r="ED189" s="58"/>
      <c r="EE189" s="58"/>
      <c r="EF189" s="58"/>
      <c r="EG189" s="58"/>
      <c r="EH189" s="58"/>
      <c r="EI189" s="58"/>
      <c r="EJ189" s="58"/>
      <c r="EK189" s="58"/>
      <c r="EL189" s="58"/>
      <c r="EM189" s="58"/>
      <c r="EN189" s="58"/>
      <c r="EO189" s="58"/>
      <c r="EP189" s="58"/>
      <c r="EQ189" s="58"/>
      <c r="ER189" s="58"/>
      <c r="ES189" s="58"/>
      <c r="ET189" s="58"/>
      <c r="EU189" s="58"/>
      <c r="EV189" s="58"/>
      <c r="EW189" s="58"/>
      <c r="EX189" s="58"/>
      <c r="EY189" s="58"/>
      <c r="EZ189" s="58"/>
      <c r="FA189" s="58"/>
      <c r="FB189" s="58"/>
      <c r="FC189" s="58"/>
      <c r="FD189" s="58"/>
      <c r="FE189" s="58"/>
      <c r="FF189" s="58"/>
      <c r="FG189" s="58"/>
      <c r="FH189" s="58"/>
      <c r="FI189" s="58"/>
      <c r="FJ189" s="58"/>
      <c r="FK189" s="58"/>
      <c r="FL189" s="58"/>
      <c r="FM189" s="58"/>
      <c r="FN189" s="58"/>
      <c r="FO189" s="61"/>
    </row>
    <row r="190" s="21" customFormat="1" ht="15.75" customHeight="1" spans="1:171">
      <c r="A190" s="167"/>
      <c r="B190" s="168" t="s">
        <v>244</v>
      </c>
      <c r="C190" s="168"/>
      <c r="D190" s="168"/>
      <c r="E190" s="168"/>
      <c r="F190" s="168"/>
      <c r="G190" s="168"/>
      <c r="H190" s="168"/>
      <c r="I190" s="168"/>
      <c r="J190" s="57"/>
      <c r="K190" s="57"/>
      <c r="L190" s="57"/>
      <c r="M190" s="58"/>
      <c r="N190" s="58"/>
      <c r="O190" s="58"/>
      <c r="P190" s="58"/>
      <c r="Q190" s="58"/>
      <c r="R190" s="58"/>
      <c r="S190" s="58"/>
      <c r="T190" s="58"/>
      <c r="U190" s="58"/>
      <c r="V190" s="58"/>
      <c r="W190" s="58"/>
      <c r="X190" s="58"/>
      <c r="Y190" s="58"/>
      <c r="Z190" s="58"/>
      <c r="AA190" s="58"/>
      <c r="AB190" s="58"/>
      <c r="AC190" s="58"/>
      <c r="AD190" s="58"/>
      <c r="AE190" s="58"/>
      <c r="AF190" s="58"/>
      <c r="AG190" s="58"/>
      <c r="AH190" s="58"/>
      <c r="AI190" s="58"/>
      <c r="AJ190" s="58"/>
      <c r="AK190" s="58"/>
      <c r="AL190" s="58"/>
      <c r="AM190" s="58"/>
      <c r="AN190" s="58"/>
      <c r="AO190" s="58"/>
      <c r="AP190" s="58"/>
      <c r="AQ190" s="58"/>
      <c r="AR190" s="58"/>
      <c r="AS190" s="58"/>
      <c r="AT190" s="58"/>
      <c r="AU190" s="58"/>
      <c r="AV190" s="58"/>
      <c r="AW190" s="58"/>
      <c r="AX190" s="58"/>
      <c r="AY190" s="58"/>
      <c r="AZ190" s="58"/>
      <c r="BA190" s="58"/>
      <c r="BB190" s="58"/>
      <c r="BC190" s="58"/>
      <c r="BD190" s="58"/>
      <c r="BE190" s="58"/>
      <c r="BF190" s="58"/>
      <c r="BG190" s="58"/>
      <c r="BH190" s="58"/>
      <c r="BI190" s="58"/>
      <c r="BJ190" s="58"/>
      <c r="BK190" s="58"/>
      <c r="BL190" s="58"/>
      <c r="BM190" s="58"/>
      <c r="BN190" s="58"/>
      <c r="BO190" s="58"/>
      <c r="BP190" s="58"/>
      <c r="BQ190" s="58"/>
      <c r="BR190" s="58"/>
      <c r="BS190" s="58"/>
      <c r="BT190" s="58"/>
      <c r="BU190" s="58"/>
      <c r="BV190" s="58"/>
      <c r="BW190" s="58"/>
      <c r="BX190" s="58"/>
      <c r="BY190" s="58"/>
      <c r="BZ190" s="58"/>
      <c r="CA190" s="58"/>
      <c r="CB190" s="58"/>
      <c r="CC190" s="58"/>
      <c r="CD190" s="58"/>
      <c r="CE190" s="58"/>
      <c r="CF190" s="58"/>
      <c r="CG190" s="58"/>
      <c r="CH190" s="58"/>
      <c r="CI190" s="58"/>
      <c r="CJ190" s="58"/>
      <c r="CK190" s="58"/>
      <c r="CL190" s="58"/>
      <c r="CM190" s="58"/>
      <c r="CN190" s="58"/>
      <c r="CO190" s="58"/>
      <c r="CP190" s="58"/>
      <c r="CQ190" s="58"/>
      <c r="CR190" s="58"/>
      <c r="CS190" s="58"/>
      <c r="CT190" s="58"/>
      <c r="CU190" s="58"/>
      <c r="CV190" s="58"/>
      <c r="CW190" s="58"/>
      <c r="CX190" s="58"/>
      <c r="CY190" s="58"/>
      <c r="CZ190" s="58"/>
      <c r="DA190" s="58"/>
      <c r="DB190" s="58"/>
      <c r="DC190" s="58"/>
      <c r="DD190" s="58"/>
      <c r="DE190" s="58"/>
      <c r="DF190" s="58"/>
      <c r="DG190" s="58"/>
      <c r="DH190" s="58"/>
      <c r="DI190" s="58"/>
      <c r="DJ190" s="58"/>
      <c r="DK190" s="58"/>
      <c r="DL190" s="58"/>
      <c r="DM190" s="58"/>
      <c r="DN190" s="58"/>
      <c r="DO190" s="58"/>
      <c r="DP190" s="58"/>
      <c r="DQ190" s="58"/>
      <c r="DR190" s="58"/>
      <c r="DS190" s="58"/>
      <c r="DT190" s="58"/>
      <c r="DU190" s="58"/>
      <c r="DV190" s="58"/>
      <c r="DW190" s="58"/>
      <c r="DX190" s="58"/>
      <c r="DY190" s="58"/>
      <c r="DZ190" s="58"/>
      <c r="EA190" s="58"/>
      <c r="EB190" s="58"/>
      <c r="EC190" s="58"/>
      <c r="ED190" s="58"/>
      <c r="EE190" s="58"/>
      <c r="EF190" s="58"/>
      <c r="EG190" s="58"/>
      <c r="EH190" s="58"/>
      <c r="EI190" s="58"/>
      <c r="EJ190" s="58"/>
      <c r="EK190" s="58"/>
      <c r="EL190" s="58"/>
      <c r="EM190" s="58"/>
      <c r="EN190" s="58"/>
      <c r="EO190" s="58"/>
      <c r="EP190" s="58"/>
      <c r="EQ190" s="58"/>
      <c r="ER190" s="58"/>
      <c r="ES190" s="58"/>
      <c r="ET190" s="58"/>
      <c r="EU190" s="58"/>
      <c r="EV190" s="58"/>
      <c r="EW190" s="58"/>
      <c r="EX190" s="58"/>
      <c r="EY190" s="58"/>
      <c r="EZ190" s="58"/>
      <c r="FA190" s="58"/>
      <c r="FB190" s="58"/>
      <c r="FC190" s="58"/>
      <c r="FD190" s="58"/>
      <c r="FE190" s="58"/>
      <c r="FF190" s="58"/>
      <c r="FG190" s="58"/>
      <c r="FH190" s="58"/>
      <c r="FI190" s="58"/>
      <c r="FJ190" s="58"/>
      <c r="FK190" s="58"/>
      <c r="FL190" s="58"/>
      <c r="FM190" s="58"/>
      <c r="FN190" s="58"/>
    </row>
  </sheetData>
  <mergeCells count="31">
    <mergeCell ref="A1:I1"/>
    <mergeCell ref="A2:H2"/>
    <mergeCell ref="A3:K3"/>
    <mergeCell ref="B8:E8"/>
    <mergeCell ref="B46:E46"/>
    <mergeCell ref="B100:E100"/>
    <mergeCell ref="B117:E117"/>
    <mergeCell ref="B149:I149"/>
    <mergeCell ref="B155:G155"/>
    <mergeCell ref="C180:I180"/>
    <mergeCell ref="B181:I181"/>
    <mergeCell ref="B182:I182"/>
    <mergeCell ref="B183:I183"/>
    <mergeCell ref="B184:I184"/>
    <mergeCell ref="B185:I185"/>
    <mergeCell ref="B186:I186"/>
    <mergeCell ref="B187:I187"/>
    <mergeCell ref="B188:I188"/>
    <mergeCell ref="B189:I189"/>
    <mergeCell ref="B190:I190"/>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2026-07-18T11:19:23Z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