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2019报价" sheetId="15" r:id="rId1"/>
  </sheets>
  <definedNames>
    <definedName name="_xlnm.Print_Area" localSheetId="0">'2019报价'!$A$1:$I$168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<sst xmlns="http://schemas.openxmlformats.org/spreadsheetml/2006/main" count="432" uniqueCount="232">
  <si>
    <t xml:space="preserve">                                                                                      广东帝豪装饰集团巴中分公司（工程预算单）
</t>
  </si>
  <si>
    <t xml:space="preserve">工程名称：半山逸城2期12-101苟先生            </t>
  </si>
  <si>
    <t>公司地址:巴中市黄家沟居然之家四楼2-4-009号                                        电话:0827-3888300</t>
  </si>
  <si>
    <t>序号</t>
  </si>
  <si>
    <t>项目内容</t>
  </si>
  <si>
    <t>数量</t>
  </si>
  <si>
    <t>单位</t>
  </si>
  <si>
    <t>材料</t>
  </si>
  <si>
    <t>人工</t>
  </si>
  <si>
    <t>施工工艺及材料说明</t>
  </si>
  <si>
    <t>单价</t>
  </si>
  <si>
    <t>合价</t>
  </si>
  <si>
    <t>一</t>
  </si>
  <si>
    <t>客厅、餐厅及阳台</t>
  </si>
  <si>
    <t>窗帘盒</t>
  </si>
  <si>
    <t>M</t>
  </si>
  <si>
    <t>欧松板、石膏板、辅料、人工及机具费。</t>
  </si>
  <si>
    <t>石膏板平面天花</t>
  </si>
  <si>
    <r>
      <rPr>
        <sz val="11"/>
        <rFont val="新宋体"/>
        <charset val="134"/>
      </rPr>
      <t>M</t>
    </r>
    <r>
      <rPr>
        <vertAlign val="superscript"/>
        <sz val="11"/>
        <rFont val="新宋体"/>
        <charset val="134"/>
      </rPr>
      <t>2</t>
    </r>
  </si>
  <si>
    <t>木龙骨或轻钢龙骨框架结构、膨胀螺丝固定、纸面石膏板封面（以展开面积计算)、乳胶漆另计</t>
  </si>
  <si>
    <t>造型天花</t>
  </si>
  <si>
    <r>
      <rPr>
        <sz val="11"/>
        <color theme="1"/>
        <rFont val="新宋体"/>
        <charset val="134"/>
      </rPr>
      <t>M</t>
    </r>
    <r>
      <rPr>
        <vertAlign val="superscript"/>
        <sz val="11"/>
        <color theme="1"/>
        <rFont val="新宋体"/>
        <charset val="134"/>
      </rPr>
      <t>2</t>
    </r>
  </si>
  <si>
    <t>木龙骨或轻钢龙骨框架，造型位置夹板框架、纸面石膏板封面(以展开面积计算)、弧型处夹板衬底、乳胶漆另计。</t>
  </si>
  <si>
    <t xml:space="preserve"> </t>
  </si>
  <si>
    <t>天花虚光灯槽</t>
  </si>
  <si>
    <t>m</t>
  </si>
  <si>
    <t>欧松板打底石膏板封面，辅料、人工及机具费。</t>
  </si>
  <si>
    <t>50-60MM优质艺术石膏线</t>
  </si>
  <si>
    <t>1、普通艺术石膏线、快粘粉粘贴、直钉固定。2、人工及机具费。</t>
  </si>
  <si>
    <t>80MM优质艺术石膏线</t>
  </si>
  <si>
    <t>艺术石膏线刷漆</t>
  </si>
  <si>
    <t>石膏线或PU角线刷漆</t>
  </si>
  <si>
    <t>客厅及餐厅正铺地砖（300-800MM）</t>
  </si>
  <si>
    <t>１、强度32.5MPa普通硅酸盐水泥、水泥沙浆铺设等辅料及人工工资。2、地砖、水泥、砂浆厚度超过4CM按找平另计。（地砖业主自购）</t>
  </si>
  <si>
    <t>勾缝处理</t>
  </si>
  <si>
    <t>人工、辅料及瓷砖缝清洗</t>
  </si>
  <si>
    <t>造型基层</t>
  </si>
  <si>
    <r>
      <rPr>
        <sz val="11"/>
        <rFont val="宋体"/>
        <charset val="134"/>
      </rPr>
      <t>M</t>
    </r>
    <r>
      <rPr>
        <vertAlign val="superscript"/>
        <sz val="11"/>
        <rFont val="宋体"/>
        <charset val="134"/>
      </rPr>
      <t>2</t>
    </r>
  </si>
  <si>
    <t>木龙骨框架结构，膨胀螺丝固定，欧松板封面刷防潮油、人工及机具费。（***业主自购）</t>
  </si>
  <si>
    <t>墙顶面基层加固</t>
  </si>
  <si>
    <t>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</si>
  <si>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</si>
  <si>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</si>
  <si>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</si>
  <si>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</si>
  <si>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墙面漆护角</t>
  </si>
  <si>
    <t>项</t>
  </si>
  <si>
    <t>天花及墙面阳角护角、人工及机具费。</t>
  </si>
  <si>
    <t>防潮处理</t>
  </si>
  <si>
    <t>1、木制作与墙面接触处刷防潮油，中间防潮棉相隔。2、人工工资</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</si>
  <si>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</si>
  <si>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</si>
  <si>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</si>
  <si>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</si>
  <si>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</si>
  <si>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</si>
  <si>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</si>
  <si>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</si>
  <si>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墙面瓷砖刷背胶</t>
  </si>
  <si>
    <t>瓷砖背面刷瓷砖背胶，人工及机具费。（背胶业主自购）</t>
  </si>
  <si>
    <t>墙面瓷片碰角加工</t>
  </si>
  <si>
    <t>1、双面瓷片加工内边成直角拼接。2、人工及机具费。</t>
  </si>
  <si>
    <t>人工及瓷砖缝清洗</t>
  </si>
  <si>
    <t>地面防水处理</t>
  </si>
  <si>
    <t>1、德高防水（柔性）、高度300MM。2、人工及机具费</t>
  </si>
  <si>
    <t>三</t>
  </si>
  <si>
    <t>公卫</t>
  </si>
  <si>
    <t>德高防水（柔性）,人工及机具费</t>
  </si>
  <si>
    <t>地面防水保护层</t>
  </si>
  <si>
    <t>水泥、沙对已完工防水工程表面覆盖保护，厚度3-5公分</t>
  </si>
  <si>
    <t>墙面防水层</t>
  </si>
  <si>
    <t>1、墙面清理干净。2、德高防水（钢性）。3、人工及机具费</t>
  </si>
  <si>
    <t>四</t>
  </si>
  <si>
    <t>主卧</t>
  </si>
  <si>
    <t>地面找平</t>
  </si>
  <si>
    <t>1、原地面清理、强度325MPa普通硅酸盐水、中沙水泥沙浆抹平、原地面水平放线、凸筋处理。2、找平厚度如超过4CM按双面计算、人工及机具费</t>
  </si>
  <si>
    <t>五</t>
  </si>
  <si>
    <t>主卫</t>
  </si>
  <si>
    <t>1、双面瓷片加工内边成直角拼接。2、人工及机具费。(如门套内需碰角另计)</t>
  </si>
  <si>
    <t>六</t>
  </si>
  <si>
    <t>次卧一</t>
  </si>
  <si>
    <t>飘窗大理石铺贴</t>
  </si>
  <si>
    <t>1、含水泥、沙等辅料。2、人工及机具费（大理石业主自购）</t>
  </si>
  <si>
    <t>七</t>
  </si>
  <si>
    <t>次卧二</t>
  </si>
  <si>
    <t>八</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</si>
  <si>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</si>
  <si>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</si>
  <si>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</si>
  <si>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</si>
  <si>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</si>
  <si>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</si>
  <si>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</si>
  <si>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</si>
  <si>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</si>
  <si>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</si>
  <si>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</si>
  <si>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</si>
  <si>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</si>
  <si>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</si>
  <si>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</si>
  <si>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</si>
  <si>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个</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</si>
  <si>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</si>
  <si>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</si>
  <si>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</si>
  <si>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</si>
  <si>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</si>
  <si>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</si>
  <si>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</si>
  <si>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</si>
  <si>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</si>
  <si>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</si>
  <si>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</si>
  <si>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</si>
  <si>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</si>
  <si>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</si>
  <si>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</si>
  <si>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</si>
  <si>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</si>
  <si>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</si>
  <si>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</si>
  <si>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</si>
  <si>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</si>
  <si>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</si>
  <si>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</si>
  <si>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</si>
  <si>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</si>
  <si>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九</t>
  </si>
  <si>
    <t>其它</t>
  </si>
  <si>
    <t>门槛大理石铺贴</t>
  </si>
  <si>
    <t>1、水泥、沙、直线镶贴、弧型线另加20%。2、人工及机具费（大理石业主自购）</t>
  </si>
  <si>
    <t>沉箱架空处理</t>
  </si>
  <si>
    <t>水泥瓷砖预制板及人工架空处理、人工及机具费(瓷砖业主自购)</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</si>
  <si>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</si>
  <si>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</si>
  <si>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</si>
  <si>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</si>
  <si>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</si>
  <si>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</si>
  <si>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</si>
  <si>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复式或者别墅另加700元/套</t>
  </si>
  <si>
    <t>地漏安装</t>
  </si>
  <si>
    <t>水泥、沙、等辅料及人工安装费（地漏四周走边）。</t>
  </si>
  <si>
    <t>墙面修补</t>
  </si>
  <si>
    <t>1、门洞、边角及后期墙面损坏修补（包人工，水泥，沙）</t>
  </si>
  <si>
    <t>新建门洞(90CM内)</t>
  </si>
  <si>
    <t>1、钢筋、悬空处理、水泥、沙等辅料。2、人工及机具费</t>
  </si>
  <si>
    <t>现浇楼板</t>
  </si>
  <si>
    <r>
      <rPr>
        <sz val="10"/>
        <rFont val="Times New Roman"/>
        <charset val="134"/>
      </rPr>
      <t>1</t>
    </r>
    <r>
      <rPr>
        <sz val="10"/>
        <rFont val="宋体"/>
        <charset val="134"/>
      </rPr>
      <t>、</t>
    </r>
    <r>
      <rPr>
        <sz val="10"/>
        <rFont val="Times New Roman"/>
        <charset val="134"/>
      </rPr>
      <t>10MM</t>
    </r>
    <r>
      <rPr>
        <sz val="10"/>
        <rFont val="宋体"/>
        <charset val="134"/>
      </rPr>
      <t>螺纹钢主筋，</t>
    </r>
    <r>
      <rPr>
        <sz val="10"/>
        <rFont val="Times New Roman"/>
        <charset val="134"/>
      </rPr>
      <t>6MM</t>
    </r>
    <r>
      <rPr>
        <sz val="10"/>
        <rFont val="宋体"/>
        <charset val="134"/>
      </rPr>
      <t>螺纹钢辅筋扎网，</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</si>
  <si>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中央空调风口加固</t>
  </si>
  <si>
    <t>中央空调出风口及入风口加固</t>
  </si>
  <si>
    <t>墙体拆除</t>
  </si>
  <si>
    <t>1、32CM以上墙体或是混凝土墙另计</t>
  </si>
  <si>
    <t>阳台大理石挡水边</t>
  </si>
  <si>
    <t>１、含水泥、沙、白水泥等辅料。2、人工及机具费（大理石业主自购）。</t>
  </si>
  <si>
    <t>淋浴基石安装</t>
  </si>
  <si>
    <t>１、含水泥、沙、砖、白水泥等辅料。2、人工及机具费（大理石业主自购）。</t>
  </si>
  <si>
    <t>烟道瓷片防脱落处理</t>
  </si>
  <si>
    <t>水泥、沙、砖、铁丝网。人工及机具费。（贴瓷片另计）</t>
  </si>
  <si>
    <t>蹲厕安装</t>
  </si>
  <si>
    <t>1、水泥、沙、等辅料及人工安装费。2、蹲厕及下水业主自购</t>
  </si>
  <si>
    <t>地固漆</t>
  </si>
  <si>
    <t>广东帝豪装饰专用西牛牌地固漆或德高地固漆、防潮、人工及机具费。</t>
  </si>
  <si>
    <t>砌墙（12分）</t>
  </si>
  <si>
    <t>1、水泥、沙、砖等辅料及人工工资。（不含墙面批档）</t>
  </si>
  <si>
    <t>砌墙（24分）</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</si>
  <si>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</si>
  <si>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</si>
  <si>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</si>
  <si>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</si>
  <si>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</si>
  <si>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</si>
  <si>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</si>
  <si>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</si>
  <si>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</si>
  <si>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</si>
  <si>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</si>
  <si>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</si>
  <si>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</si>
  <si>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</si>
  <si>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</si>
  <si>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</si>
  <si>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</si>
  <si>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</si>
  <si>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</si>
  <si>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</si>
  <si>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</si>
  <si>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</si>
  <si>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</si>
  <si>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</si>
  <si>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</si>
  <si>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</si>
  <si>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</si>
  <si>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</si>
  <si>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</si>
  <si>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</si>
  <si>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砌壁龛</t>
  </si>
  <si>
    <t>水泥、沙、红砖等辅料、人工及机具费。</t>
  </si>
  <si>
    <t>空调孔开孔</t>
  </si>
  <si>
    <t>人工及机具费</t>
  </si>
  <si>
    <t>开孔</t>
  </si>
  <si>
    <t>人工及机具费（厨房及卫生间瓷砖上开水管牙头孔）</t>
  </si>
  <si>
    <t>悬挂电视位红砖加固</t>
  </si>
  <si>
    <t>地暖后整体找平</t>
  </si>
  <si>
    <t>水泥、沙浆等辅料、人工及机具费(加钢丝网另加10元/㎡）</t>
  </si>
  <si>
    <t>做地暖门洞升高</t>
  </si>
  <si>
    <t>门洞升高及修补。</t>
  </si>
  <si>
    <t>顶面白灰铲除</t>
  </si>
  <si>
    <t>人工及机具费(墙面如有白灰需铲除的需另加3元/㎡)</t>
  </si>
  <si>
    <t>成品保护</t>
  </si>
  <si>
    <t>专用保护膜、辅料及人工</t>
  </si>
  <si>
    <t>暗装预埋花洒</t>
  </si>
  <si>
    <t>1、开槽，管件预埋、2、人工及机具费</t>
  </si>
  <si>
    <t>暗装预埋水箱</t>
  </si>
  <si>
    <t>1、开槽，水箱预埋、2、人工及机具费</t>
  </si>
  <si>
    <t>墙面防裂网</t>
  </si>
  <si>
    <r>
      <rPr>
        <sz val="11"/>
        <color indexed="8"/>
        <rFont val="宋体"/>
        <charset val="134"/>
      </rPr>
      <t>M</t>
    </r>
    <r>
      <rPr>
        <vertAlign val="superscript"/>
        <sz val="11"/>
        <color indexed="8"/>
        <rFont val="宋体"/>
        <charset val="134"/>
      </rPr>
      <t>2</t>
    </r>
  </si>
  <si>
    <t>墙面挂网、人工</t>
  </si>
  <si>
    <t>拆构造柱</t>
  </si>
  <si>
    <t>编织袋装袋及人工</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</si>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</sst>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62">
    <font>
      <sz val="12"/>
      <name val="宋体"/>
      <charset val="134"/>
    </font>
    <font>
      <sz val="10"/>
      <color theme="1"/>
      <name val="宋体"/>
      <charset val="134"/>
    </font>
    <font>
      <sz val="10"/>
      <name val="宋体"/>
      <charset val="134"/>
    </font>
    <font>
      <sz val="11"/>
      <name val="宋体"/>
      <charset val="134"/>
    </font>
    <font>
      <b/>
      <sz val="11"/>
      <color indexed="55"/>
      <name val="宋体"/>
      <charset val="134"/>
    </font>
    <font>
      <sz val="11"/>
      <color theme="1"/>
      <name val="宋体"/>
      <charset val="134"/>
    </font>
    <font>
      <sz val="12"/>
      <color indexed="8"/>
      <name val="宋体"/>
      <charset val="134"/>
    </font>
    <font>
      <sz val="12"/>
      <color theme="1"/>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1"/>
      <color theme="1"/>
      <name val="新宋体"/>
      <charset val="134"/>
    </font>
    <font>
      <sz val="10"/>
      <color theme="1"/>
      <name val="新宋体"/>
      <charset val="134"/>
    </font>
    <font>
      <sz val="8"/>
      <name val="宋体"/>
      <charset val="134"/>
    </font>
    <font>
      <sz val="9"/>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9"/>
      <color theme="1"/>
      <name val="新宋体"/>
      <charset val="134"/>
    </font>
    <font>
      <b/>
      <sz val="9"/>
      <name val="新宋体"/>
      <charset val="134"/>
    </font>
    <font>
      <sz val="11"/>
      <color indexed="8"/>
      <name val="新宋体"/>
      <charset val="134"/>
    </font>
    <font>
      <sz val="10"/>
      <color indexed="8"/>
      <name val="新宋体"/>
      <charset val="134"/>
    </font>
    <font>
      <sz val="9"/>
      <name val="新宋体"/>
      <charset val="134"/>
    </font>
    <font>
      <sz val="10"/>
      <name val="Times New Roman"/>
      <charset val="134"/>
    </font>
    <font>
      <sz val="10"/>
      <color indexed="8"/>
      <name val="宋体"/>
      <charset val="134"/>
    </font>
    <font>
      <sz val="11"/>
      <color indexed="8"/>
      <name val="宋体"/>
      <charset val="134"/>
    </font>
    <font>
      <sz val="12"/>
      <color indexed="8"/>
      <name val="新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color indexed="8"/>
      <name val="宋体"/>
      <charset val="134"/>
    </font>
    <font>
      <vertAlign val="superscript"/>
      <sz val="11"/>
      <color theme="1"/>
      <name val="新宋体"/>
      <charset val="134"/>
    </font>
    <font>
      <vertAlign val="superscript"/>
      <sz val="11"/>
      <name val="新宋体"/>
      <charset val="134"/>
    </font>
    <font>
      <vertAlign val="superscript"/>
      <sz val="10"/>
      <color theme="1"/>
      <name val="新宋体"/>
      <charset val="134"/>
    </font>
    <font>
      <vertAlign val="superscript"/>
      <sz val="11"/>
      <name val="宋体"/>
      <charset val="134"/>
    </font>
  </fonts>
  <fills count="35">
    <fill>
      <patternFill patternType="none"/>
    </fill>
    <fill>
      <patternFill patternType="gray125"/>
    </fill>
    <fill>
      <patternFill patternType="solid">
        <fgColor indexed="9"/>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4" borderId="15"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6" applyNumberFormat="0" applyFill="0" applyAlignment="0" applyProtection="0">
      <alignment vertical="center"/>
    </xf>
    <xf numFmtId="0" fontId="40" fillId="0" borderId="16" applyNumberFormat="0" applyFill="0" applyAlignment="0" applyProtection="0">
      <alignment vertical="center"/>
    </xf>
    <xf numFmtId="0" fontId="41" fillId="0" borderId="17" applyNumberFormat="0" applyFill="0" applyAlignment="0" applyProtection="0">
      <alignment vertical="center"/>
    </xf>
    <xf numFmtId="0" fontId="41" fillId="0" borderId="0" applyNumberFormat="0" applyFill="0" applyBorder="0" applyAlignment="0" applyProtection="0">
      <alignment vertical="center"/>
    </xf>
    <xf numFmtId="0" fontId="42" fillId="5" borderId="18" applyNumberFormat="0" applyAlignment="0" applyProtection="0">
      <alignment vertical="center"/>
    </xf>
    <xf numFmtId="0" fontId="43" fillId="6" borderId="19" applyNumberFormat="0" applyAlignment="0" applyProtection="0">
      <alignment vertical="center"/>
    </xf>
    <xf numFmtId="0" fontId="44" fillId="6" borderId="18" applyNumberFormat="0" applyAlignment="0" applyProtection="0">
      <alignment vertical="center"/>
    </xf>
    <xf numFmtId="0" fontId="45" fillId="7" borderId="20" applyNumberFormat="0" applyAlignment="0" applyProtection="0">
      <alignment vertical="center"/>
    </xf>
    <xf numFmtId="0" fontId="46" fillId="0" borderId="21" applyNumberFormat="0" applyFill="0" applyAlignment="0" applyProtection="0">
      <alignment vertical="center"/>
    </xf>
    <xf numFmtId="0" fontId="47" fillId="0" borderId="22" applyNumberFormat="0" applyFill="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2"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3" fillId="0" borderId="0"/>
    <xf numFmtId="0" fontId="53" fillId="0" borderId="0"/>
    <xf numFmtId="176" fontId="0" fillId="0" borderId="0" applyFont="0" applyFill="0" applyBorder="0" applyAlignment="0" applyProtection="0"/>
    <xf numFmtId="41"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176" fontId="0" fillId="0" borderId="0" applyFont="0" applyFill="0" applyBorder="0" applyAlignment="0" applyProtection="0"/>
    <xf numFmtId="0" fontId="54" fillId="0" borderId="5">
      <alignment horizontal="center"/>
    </xf>
    <xf numFmtId="0" fontId="55" fillId="0" borderId="23" applyNumberFormat="0" applyAlignment="0" applyProtection="0">
      <alignment horizontal="left" vertical="center"/>
    </xf>
    <xf numFmtId="0" fontId="55" fillId="0" borderId="14">
      <alignment horizontal="left" vertical="center"/>
    </xf>
    <xf numFmtId="0" fontId="56" fillId="0" borderId="0"/>
    <xf numFmtId="0" fontId="0" fillId="0" borderId="0"/>
    <xf numFmtId="43" fontId="0" fillId="0" borderId="0" applyFont="0" applyFill="0" applyBorder="0" applyAlignment="0" applyProtection="0"/>
  </cellStyleXfs>
  <cellXfs count="148">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2" fillId="0" borderId="3" xfId="0" applyFont="1" applyBorder="1" applyAlignment="1">
      <alignment wrapText="1"/>
    </xf>
    <xf numFmtId="0" fontId="1" fillId="0" borderId="0" xfId="0" applyFont="1" applyAlignment="1">
      <alignment wrapText="1"/>
    </xf>
    <xf numFmtId="0" fontId="3" fillId="0" borderId="4" xfId="0" applyFont="1" applyFill="1" applyBorder="1" applyAlignment="1">
      <alignment wrapText="1"/>
    </xf>
    <xf numFmtId="0" fontId="3" fillId="0" borderId="0" xfId="0" applyFont="1" applyAlignment="1">
      <alignment wrapText="1"/>
    </xf>
    <xf numFmtId="0" fontId="4" fillId="0" borderId="4" xfId="0" applyFont="1" applyFill="1" applyBorder="1" applyAlignment="1">
      <alignment wrapText="1"/>
    </xf>
    <xf numFmtId="0" fontId="5" fillId="0" borderId="0" xfId="0" applyFont="1" applyAlignment="1">
      <alignment wrapText="1"/>
    </xf>
    <xf numFmtId="0" fontId="2" fillId="0" borderId="0" xfId="0" applyFont="1" applyAlignment="1">
      <alignment vertical="center"/>
    </xf>
    <xf numFmtId="0" fontId="6" fillId="2" borderId="0" xfId="0" applyFont="1" applyFill="1"/>
    <xf numFmtId="0" fontId="0" fillId="2" borderId="0" xfId="0" applyFill="1" applyAlignment="1">
      <alignment vertical="center"/>
    </xf>
    <xf numFmtId="0" fontId="7" fillId="0" borderId="0" xfId="0" applyFont="1"/>
    <xf numFmtId="0" fontId="3" fillId="2" borderId="0" xfId="0" applyFont="1" applyFill="1" applyAlignment="1">
      <alignment wrapText="1"/>
    </xf>
    <xf numFmtId="0" fontId="3" fillId="2" borderId="3" xfId="0" applyFont="1" applyFill="1" applyBorder="1" applyAlignment="1">
      <alignment wrapText="1"/>
    </xf>
    <xf numFmtId="0" fontId="0" fillId="2" borderId="0" xfId="0" applyFill="1"/>
    <xf numFmtId="0" fontId="2" fillId="0" borderId="4" xfId="0" applyFont="1" applyBorder="1" applyAlignment="1">
      <alignment wrapText="1"/>
    </xf>
    <xf numFmtId="0" fontId="3"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right" vertical="center" wrapText="1"/>
    </xf>
    <xf numFmtId="0" fontId="2"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31" fontId="10" fillId="0" borderId="0" xfId="0" applyNumberFormat="1" applyFont="1" applyAlignment="1">
      <alignment horizontal="center" vertical="center"/>
    </xf>
    <xf numFmtId="0" fontId="9" fillId="0" borderId="0" xfId="0" applyFont="1"/>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0" xfId="0" applyFont="1" applyAlignment="1">
      <alignment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left" vertical="center" wrapText="1"/>
    </xf>
    <xf numFmtId="0" fontId="14" fillId="0" borderId="3" xfId="0" applyFont="1" applyBorder="1" applyAlignment="1">
      <alignment horizontal="center" vertical="center" wrapText="1"/>
    </xf>
    <xf numFmtId="0" fontId="12" fillId="0" borderId="3" xfId="0" applyFont="1" applyBorder="1" applyAlignment="1">
      <alignment vertical="center" wrapText="1"/>
    </xf>
    <xf numFmtId="0" fontId="3" fillId="0" borderId="3" xfId="0" applyFont="1" applyBorder="1" applyAlignment="1">
      <alignment horizontal="center" vertical="center" wrapText="1"/>
    </xf>
    <xf numFmtId="0" fontId="14"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3" fillId="0" borderId="3" xfId="0" applyFont="1" applyBorder="1" applyAlignment="1">
      <alignment horizontal="left" vertical="center" wrapText="1"/>
    </xf>
    <xf numFmtId="0" fontId="15" fillId="0" borderId="3" xfId="0" applyFont="1" applyBorder="1" applyAlignment="1">
      <alignment vertical="center" wrapText="1"/>
    </xf>
    <xf numFmtId="0" fontId="5"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12" xfId="0" applyFont="1" applyBorder="1" applyAlignment="1">
      <alignment vertical="center" wrapText="1"/>
    </xf>
    <xf numFmtId="0" fontId="16" fillId="0" borderId="0" xfId="0" applyFont="1" applyBorder="1" applyAlignment="1">
      <alignment wrapText="1"/>
    </xf>
    <xf numFmtId="0" fontId="1" fillId="0" borderId="0" xfId="0" applyFont="1" applyBorder="1" applyAlignment="1">
      <alignment wrapText="1"/>
    </xf>
    <xf numFmtId="0" fontId="1" fillId="0" borderId="13" xfId="0" applyFont="1" applyBorder="1" applyAlignment="1">
      <alignment wrapText="1"/>
    </xf>
    <xf numFmtId="0" fontId="12" fillId="0" borderId="12" xfId="0" applyFont="1" applyBorder="1" applyAlignment="1">
      <alignment vertical="center" wrapText="1"/>
    </xf>
    <xf numFmtId="0" fontId="12" fillId="0" borderId="0" xfId="0" applyFont="1" applyBorder="1" applyAlignment="1">
      <alignment wrapText="1"/>
    </xf>
    <xf numFmtId="0" fontId="2" fillId="0" borderId="0" xfId="0" applyFont="1" applyBorder="1" applyAlignment="1">
      <alignment wrapText="1"/>
    </xf>
    <xf numFmtId="0" fontId="17" fillId="0" borderId="3" xfId="0" applyFont="1" applyBorder="1" applyAlignment="1">
      <alignment vertical="center" wrapText="1"/>
    </xf>
    <xf numFmtId="0" fontId="2" fillId="0" borderId="12" xfId="0" applyFont="1" applyBorder="1" applyAlignment="1">
      <alignment vertical="center" wrapText="1"/>
    </xf>
    <xf numFmtId="0" fontId="2" fillId="0" borderId="0" xfId="0" applyFont="1" applyBorder="1" applyAlignment="1">
      <alignment wrapText="1"/>
    </xf>
    <xf numFmtId="0" fontId="2" fillId="0" borderId="13" xfId="0" applyFont="1" applyBorder="1" applyAlignment="1">
      <alignment wrapText="1"/>
    </xf>
    <xf numFmtId="0" fontId="18" fillId="0" borderId="3" xfId="0" applyFont="1" applyBorder="1" applyAlignment="1">
      <alignment vertical="center" wrapText="1"/>
    </xf>
    <xf numFmtId="0" fontId="2" fillId="0" borderId="3" xfId="0" applyFont="1" applyBorder="1" applyAlignment="1">
      <alignment vertical="center" wrapText="1"/>
    </xf>
    <xf numFmtId="0" fontId="16" fillId="0" borderId="3" xfId="0" applyFont="1" applyBorder="1" applyAlignment="1">
      <alignment horizontal="left" vertical="center" wrapText="1"/>
    </xf>
    <xf numFmtId="0" fontId="16" fillId="0" borderId="3" xfId="0" applyFont="1" applyBorder="1" applyAlignment="1">
      <alignment vertical="center" wrapText="1"/>
    </xf>
    <xf numFmtId="0" fontId="16" fillId="0" borderId="0" xfId="0" applyFont="1" applyAlignment="1">
      <alignment wrapText="1"/>
    </xf>
    <xf numFmtId="0" fontId="2" fillId="0" borderId="3" xfId="0" applyFont="1" applyBorder="1" applyAlignment="1">
      <alignment horizontal="left" vertical="center" wrapText="1"/>
    </xf>
    <xf numFmtId="0" fontId="14" fillId="3" borderId="3" xfId="0" applyFont="1" applyFill="1" applyBorder="1" applyAlignment="1">
      <alignment horizontal="center" vertical="center" wrapText="1"/>
    </xf>
    <xf numFmtId="0" fontId="13" fillId="3" borderId="3" xfId="0" applyFont="1" applyFill="1" applyBorder="1" applyAlignment="1">
      <alignment horizontal="left" vertical="center" wrapText="1"/>
    </xf>
    <xf numFmtId="0" fontId="12" fillId="3" borderId="3" xfId="0" applyFont="1" applyFill="1" applyBorder="1" applyAlignment="1">
      <alignment vertical="center" wrapText="1"/>
    </xf>
    <xf numFmtId="0" fontId="14" fillId="0" borderId="4" xfId="0" applyFont="1" applyFill="1" applyBorder="1" applyAlignment="1">
      <alignment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4" fillId="2" borderId="3" xfId="0" applyFont="1" applyFill="1" applyBorder="1" applyAlignment="1">
      <alignment vertical="center"/>
    </xf>
    <xf numFmtId="0" fontId="14" fillId="0" borderId="0" xfId="0" applyFont="1" applyAlignment="1">
      <alignment wrapText="1"/>
    </xf>
    <xf numFmtId="0" fontId="19" fillId="3" borderId="3" xfId="0" applyFont="1" applyFill="1" applyBorder="1" applyAlignment="1">
      <alignment horizontal="center" vertical="center" wrapText="1"/>
    </xf>
    <xf numFmtId="0" fontId="20" fillId="3" borderId="3" xfId="0" applyFont="1" applyFill="1" applyBorder="1" applyAlignment="1">
      <alignment horizontal="left" vertical="center" wrapText="1"/>
    </xf>
    <xf numFmtId="0" fontId="21" fillId="3" borderId="3"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3" fillId="3" borderId="3" xfId="0" applyFont="1" applyFill="1" applyBorder="1" applyAlignment="1">
      <alignment vertical="center" wrapText="1"/>
    </xf>
    <xf numFmtId="0" fontId="19" fillId="0" borderId="4" xfId="0" applyFont="1" applyFill="1" applyBorder="1" applyAlignment="1">
      <alignment wrapText="1"/>
    </xf>
    <xf numFmtId="0" fontId="10" fillId="0" borderId="12" xfId="0" applyFont="1" applyBorder="1" applyAlignment="1">
      <alignment horizontal="left" vertical="center" wrapText="1"/>
    </xf>
    <xf numFmtId="0" fontId="10" fillId="0" borderId="14" xfId="0" applyFont="1" applyBorder="1" applyAlignment="1">
      <alignment horizontal="left" vertical="center" wrapText="1"/>
    </xf>
    <xf numFmtId="0" fontId="10" fillId="0" borderId="13" xfId="0" applyFont="1" applyBorder="1" applyAlignment="1">
      <alignment horizontal="left" vertical="center" wrapText="1"/>
    </xf>
    <xf numFmtId="0" fontId="15" fillId="0" borderId="0" xfId="0" applyFont="1" applyAlignment="1">
      <alignment wrapText="1"/>
    </xf>
    <xf numFmtId="0" fontId="13" fillId="0" borderId="12" xfId="0" applyFont="1" applyBorder="1" applyAlignment="1">
      <alignment horizontal="left" vertical="center" wrapText="1"/>
    </xf>
    <xf numFmtId="0" fontId="13" fillId="0" borderId="14" xfId="0" applyFont="1" applyBorder="1" applyAlignment="1">
      <alignment horizontal="left" vertical="center" wrapText="1"/>
    </xf>
    <xf numFmtId="0" fontId="13" fillId="0" borderId="13" xfId="0" applyFont="1" applyBorder="1" applyAlignment="1">
      <alignment horizontal="left" vertical="center" wrapText="1"/>
    </xf>
    <xf numFmtId="0" fontId="24" fillId="0" borderId="3" xfId="0" applyFont="1" applyBorder="1" applyAlignment="1">
      <alignment vertical="center" wrapText="1"/>
    </xf>
    <xf numFmtId="0" fontId="16" fillId="0" borderId="3" xfId="0" applyFont="1" applyBorder="1" applyAlignment="1">
      <alignment horizontal="center" vertical="center" wrapText="1"/>
    </xf>
    <xf numFmtId="0" fontId="14" fillId="2" borderId="3" xfId="0" applyFont="1" applyFill="1" applyBorder="1" applyAlignment="1">
      <alignment horizontal="center" vertical="center"/>
    </xf>
    <xf numFmtId="0" fontId="12" fillId="2" borderId="3" xfId="0" applyFont="1" applyFill="1" applyBorder="1" applyAlignment="1">
      <alignment horizontal="left" vertical="center"/>
    </xf>
    <xf numFmtId="0" fontId="12" fillId="0" borderId="0" xfId="0" applyFont="1" applyAlignment="1">
      <alignment vertical="center"/>
    </xf>
    <xf numFmtId="0" fontId="25" fillId="0" borderId="3" xfId="0" applyFont="1" applyBorder="1" applyAlignment="1">
      <alignment horizontal="center" vertical="center" wrapText="1"/>
    </xf>
    <xf numFmtId="0" fontId="26" fillId="2" borderId="3" xfId="0" applyFont="1" applyFill="1" applyBorder="1" applyAlignment="1">
      <alignment horizontal="left" vertical="center" wrapText="1"/>
    </xf>
    <xf numFmtId="0" fontId="26" fillId="2" borderId="3" xfId="0" applyFont="1" applyFill="1" applyBorder="1" applyAlignment="1">
      <alignment horizontal="center" vertical="center" wrapText="1"/>
    </xf>
    <xf numFmtId="0" fontId="27" fillId="2" borderId="3" xfId="0" applyFont="1" applyFill="1" applyBorder="1" applyAlignment="1">
      <alignment vertical="center" wrapText="1"/>
    </xf>
    <xf numFmtId="0" fontId="27" fillId="2" borderId="0" xfId="0" applyFont="1" applyFill="1" applyAlignment="1">
      <alignment wrapText="1"/>
    </xf>
    <xf numFmtId="0" fontId="28" fillId="0" borderId="3" xfId="0" applyFont="1" applyBorder="1" applyAlignment="1">
      <alignment vertical="center" wrapText="1"/>
    </xf>
    <xf numFmtId="0" fontId="12" fillId="2" borderId="3" xfId="0" applyFont="1" applyFill="1" applyBorder="1" applyAlignment="1">
      <alignment vertical="center" wrapText="1"/>
    </xf>
    <xf numFmtId="0" fontId="9" fillId="2" borderId="0" xfId="0" applyFont="1" applyFill="1" applyAlignment="1">
      <alignment vertical="center"/>
    </xf>
    <xf numFmtId="0" fontId="3" fillId="0" borderId="3" xfId="0" applyFont="1" applyBorder="1" applyAlignment="1">
      <alignment vertical="center"/>
    </xf>
    <xf numFmtId="0" fontId="3" fillId="0" borderId="3" xfId="0" applyFont="1" applyBorder="1" applyAlignment="1">
      <alignment horizontal="center" vertical="center"/>
    </xf>
    <xf numFmtId="0" fontId="29" fillId="0" borderId="3" xfId="0" applyFont="1" applyBorder="1" applyAlignment="1">
      <alignment vertical="center" wrapText="1"/>
    </xf>
    <xf numFmtId="0" fontId="24" fillId="0" borderId="3" xfId="0" applyFont="1" applyBorder="1" applyAlignment="1">
      <alignment horizontal="left" vertical="center" wrapText="1"/>
    </xf>
    <xf numFmtId="0" fontId="30" fillId="2" borderId="3" xfId="0" applyFont="1" applyFill="1" applyBorder="1" applyAlignment="1">
      <alignment horizontal="left" vertical="center" wrapText="1"/>
    </xf>
    <xf numFmtId="0" fontId="31" fillId="2" borderId="3"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0" fillId="2" borderId="3" xfId="0" applyFont="1" applyFill="1" applyBorder="1" applyAlignment="1">
      <alignment vertical="center" wrapText="1"/>
    </xf>
    <xf numFmtId="0" fontId="28" fillId="0" borderId="3" xfId="0" applyFont="1" applyBorder="1" applyAlignment="1">
      <alignment horizontal="left" vertical="center" wrapText="1"/>
    </xf>
    <xf numFmtId="0" fontId="26" fillId="2" borderId="3" xfId="0" applyFont="1" applyFill="1" applyBorder="1" applyAlignment="1">
      <alignment vertical="center"/>
    </xf>
    <xf numFmtId="0" fontId="26" fillId="2" borderId="3" xfId="0" applyFont="1" applyFill="1" applyBorder="1" applyAlignment="1">
      <alignment horizontal="center" vertical="center"/>
    </xf>
    <xf numFmtId="0" fontId="27" fillId="2" borderId="3" xfId="0" applyFont="1" applyFill="1" applyBorder="1" applyAlignment="1">
      <alignment horizontal="left" vertical="center" wrapText="1"/>
    </xf>
    <xf numFmtId="0" fontId="32" fillId="2" borderId="0" xfId="0" applyFont="1" applyFill="1"/>
    <xf numFmtId="177" fontId="14" fillId="0" borderId="3" xfId="0" applyNumberFormat="1" applyFont="1" applyBorder="1" applyAlignment="1">
      <alignment horizontal="center" vertical="center" wrapText="1"/>
    </xf>
    <xf numFmtId="177" fontId="14" fillId="3" borderId="3" xfId="0" applyNumberFormat="1" applyFont="1" applyFill="1" applyBorder="1" applyAlignment="1">
      <alignment horizontal="center" vertical="center" wrapText="1"/>
    </xf>
    <xf numFmtId="0" fontId="14" fillId="3" borderId="3" xfId="0" applyFont="1" applyFill="1" applyBorder="1" applyAlignment="1">
      <alignment vertical="center" wrapText="1"/>
    </xf>
    <xf numFmtId="0" fontId="14" fillId="2" borderId="3" xfId="0" applyFont="1" applyFill="1" applyBorder="1" applyAlignment="1">
      <alignment horizontal="center" vertical="center" wrapText="1"/>
    </xf>
    <xf numFmtId="0" fontId="13" fillId="2" borderId="12" xfId="0" applyFont="1" applyFill="1" applyBorder="1" applyAlignment="1">
      <alignment horizontal="left" vertical="center" wrapText="1"/>
    </xf>
    <xf numFmtId="0" fontId="13" fillId="2" borderId="14"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4" fillId="2" borderId="0" xfId="0" applyFont="1" applyFill="1" applyAlignment="1">
      <alignment wrapText="1"/>
    </xf>
    <xf numFmtId="10" fontId="13" fillId="0" borderId="3" xfId="0" applyNumberFormat="1" applyFont="1" applyBorder="1" applyAlignment="1">
      <alignment horizontal="left" vertical="center" wrapText="1"/>
    </xf>
    <xf numFmtId="10" fontId="14" fillId="0" borderId="3" xfId="0" applyNumberFormat="1" applyFont="1" applyBorder="1" applyAlignment="1">
      <alignment horizontal="center" vertical="center" wrapText="1"/>
    </xf>
    <xf numFmtId="178" fontId="14" fillId="0" borderId="3" xfId="0" applyNumberFormat="1" applyFont="1" applyBorder="1" applyAlignment="1">
      <alignment horizontal="center" vertical="center" wrapText="1"/>
    </xf>
    <xf numFmtId="0" fontId="12" fillId="0" borderId="0" xfId="0" applyFont="1" applyBorder="1" applyAlignment="1">
      <alignment wrapText="1"/>
    </xf>
    <xf numFmtId="0" fontId="13" fillId="2" borderId="3" xfId="0" applyFont="1" applyFill="1" applyBorder="1" applyAlignment="1">
      <alignment horizontal="left" vertical="center" wrapText="1"/>
    </xf>
    <xf numFmtId="178" fontId="13" fillId="2" borderId="3" xfId="0" applyNumberFormat="1" applyFont="1" applyFill="1" applyBorder="1" applyAlignment="1">
      <alignment horizontal="center" vertical="center" wrapText="1"/>
    </xf>
    <xf numFmtId="177" fontId="13" fillId="2" borderId="3" xfId="0" applyNumberFormat="1" applyFont="1" applyFill="1" applyBorder="1" applyAlignment="1">
      <alignment horizontal="center" vertical="center" wrapText="1"/>
    </xf>
    <xf numFmtId="178" fontId="14" fillId="2" borderId="12" xfId="0" applyNumberFormat="1" applyFont="1" applyFill="1" applyBorder="1" applyAlignment="1">
      <alignment vertical="center" wrapText="1"/>
    </xf>
    <xf numFmtId="0" fontId="14" fillId="2" borderId="0" xfId="0" applyFont="1" applyFill="1" applyBorder="1" applyAlignment="1">
      <alignment wrapText="1"/>
    </xf>
    <xf numFmtId="0" fontId="3" fillId="2" borderId="0" xfId="0" applyFont="1" applyFill="1" applyBorder="1" applyAlignment="1">
      <alignment wrapText="1"/>
    </xf>
    <xf numFmtId="0" fontId="3" fillId="2" borderId="13" xfId="0" applyFont="1" applyFill="1" applyBorder="1" applyAlignment="1">
      <alignment wrapText="1"/>
    </xf>
    <xf numFmtId="0" fontId="14" fillId="0" borderId="12"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2" fillId="2" borderId="12" xfId="0" applyNumberFormat="1" applyFont="1" applyFill="1" applyBorder="1" applyAlignment="1">
      <alignment vertical="center" wrapText="1"/>
    </xf>
    <xf numFmtId="0" fontId="3" fillId="2" borderId="12" xfId="0" applyFont="1" applyFill="1" applyBorder="1" applyAlignment="1">
      <alignment wrapText="1"/>
    </xf>
    <xf numFmtId="0" fontId="3" fillId="2" borderId="3" xfId="0" applyFont="1" applyFill="1" applyBorder="1"/>
    <xf numFmtId="0" fontId="2" fillId="2" borderId="3" xfId="0" applyFont="1" applyFill="1" applyBorder="1" applyAlignment="1">
      <alignment horizontal="center" vertical="center"/>
    </xf>
    <xf numFmtId="0" fontId="2" fillId="2" borderId="3" xfId="0" applyFont="1" applyFill="1" applyBorder="1"/>
    <xf numFmtId="0" fontId="31" fillId="2" borderId="3" xfId="0" applyFont="1" applyFill="1" applyBorder="1" applyAlignment="1">
      <alignment horizontal="left" vertical="center" wrapText="1"/>
    </xf>
    <xf numFmtId="0" fontId="9" fillId="0" borderId="3" xfId="0" applyFont="1" applyBorder="1" applyAlignment="1">
      <alignment horizontal="center" vertical="center" wrapText="1"/>
    </xf>
    <xf numFmtId="0" fontId="9" fillId="0" borderId="12" xfId="0" applyFont="1" applyBorder="1" applyAlignment="1">
      <alignment horizontal="center" vertical="center" wrapText="1"/>
    </xf>
    <xf numFmtId="0" fontId="14" fillId="0" borderId="3" xfId="0" applyFont="1" applyBorder="1" applyAlignment="1">
      <alignment vertical="center" wrapText="1"/>
    </xf>
    <xf numFmtId="0" fontId="14" fillId="0" borderId="12"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0]_设备明细表" xfId="52"/>
    <cellStyle name="千位_设备明细表" xfId="53"/>
    <cellStyle name="千分位[0]_广州平安证券" xfId="54"/>
    <cellStyle name="??|?Revenuenuesy L 2" xfId="55"/>
    <cellStyle name="常规 2" xfId="56"/>
    <cellStyle name="??|?Revenuenuesy L 3" xfId="57"/>
    <cellStyle name="常规 3" xfId="58"/>
    <cellStyle name="??|?Revenuenuesy L 4"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O168"/>
  <sheetViews>
    <sheetView tabSelected="1" zoomScale="130" zoomScaleNormal="130" workbookViewId="0">
      <selection activeCell="I14" sqref="I14"/>
    </sheetView>
  </sheetViews>
  <sheetFormatPr defaultColWidth="9" defaultRowHeight="21" customHeight="1"/>
  <cols>
    <col min="1" max="1" width="4.08333333333333" style="19" customWidth="1"/>
    <col min="2" max="2" width="16.25" style="20" customWidth="1"/>
    <col min="3" max="3" width="5.58333333333333" style="21" customWidth="1"/>
    <col min="4" max="4" width="4.08333333333333" style="21" customWidth="1"/>
    <col min="5" max="5" width="6.25" style="21" customWidth="1"/>
    <col min="6" max="6" width="7.75" style="22" customWidth="1"/>
    <col min="7" max="7" width="6.25" style="21" customWidth="1"/>
    <col min="8" max="8" width="9.08333333333333" style="22" customWidth="1"/>
    <col min="9" max="9" width="74.5" style="23" customWidth="1"/>
    <col min="10" max="16384" width="9" style="23"/>
  </cols>
  <sheetData>
    <row r="1" s="1" customFormat="1" ht="44.25" customHeight="1" spans="1:169">
      <c r="A1" s="24" t="s">
        <v>0</v>
      </c>
      <c r="B1" s="24"/>
      <c r="C1" s="24"/>
      <c r="D1" s="24"/>
      <c r="E1" s="24"/>
      <c r="F1" s="24"/>
      <c r="G1" s="24"/>
      <c r="H1" s="24"/>
      <c r="I1" s="24"/>
      <c r="J1" s="25"/>
      <c r="K1" s="25"/>
      <c r="L1" s="25"/>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row>
    <row r="2" s="2" customFormat="1" ht="17.15" customHeight="1" spans="1:169">
      <c r="A2" s="27" t="s">
        <v>1</v>
      </c>
      <c r="B2" s="27"/>
      <c r="C2" s="27"/>
      <c r="D2" s="27"/>
      <c r="E2" s="27"/>
      <c r="F2" s="27"/>
      <c r="G2" s="27"/>
      <c r="H2" s="27"/>
      <c r="I2" s="28">
        <v>44677</v>
      </c>
      <c r="J2" s="29"/>
      <c r="K2" s="29"/>
      <c r="L2" s="29"/>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27" t="s">
        <v>2</v>
      </c>
      <c r="B3" s="27"/>
      <c r="C3" s="27"/>
      <c r="D3" s="27"/>
      <c r="E3" s="27"/>
      <c r="F3" s="27"/>
      <c r="G3" s="27"/>
      <c r="H3" s="27"/>
      <c r="I3" s="27"/>
      <c r="J3" s="27"/>
      <c r="K3" s="27"/>
      <c r="L3" s="29"/>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0" t="s">
        <v>3</v>
      </c>
      <c r="B4" s="30" t="s">
        <v>4</v>
      </c>
      <c r="C4" s="30" t="s">
        <v>5</v>
      </c>
      <c r="D4" s="30" t="s">
        <v>6</v>
      </c>
      <c r="E4" s="31" t="s">
        <v>7</v>
      </c>
      <c r="F4" s="32"/>
      <c r="G4" s="31" t="s">
        <v>8</v>
      </c>
      <c r="H4" s="32"/>
      <c r="I4" s="30" t="s">
        <v>9</v>
      </c>
      <c r="J4" s="33"/>
      <c r="K4" s="33"/>
      <c r="L4" s="33"/>
    </row>
    <row r="5" ht="9.75" customHeight="1" spans="1:169">
      <c r="A5" s="34"/>
      <c r="B5" s="34"/>
      <c r="C5" s="34"/>
      <c r="D5" s="34"/>
      <c r="E5" s="35"/>
      <c r="F5" s="36"/>
      <c r="G5" s="35"/>
      <c r="H5" s="36"/>
      <c r="I5" s="34"/>
      <c r="J5" s="33"/>
      <c r="K5" s="33"/>
      <c r="L5" s="33"/>
    </row>
    <row r="6" ht="8.25" customHeight="1" spans="1:169">
      <c r="A6" s="34"/>
      <c r="B6" s="34"/>
      <c r="C6" s="34"/>
      <c r="D6" s="34"/>
      <c r="E6" s="30" t="s">
        <v>10</v>
      </c>
      <c r="F6" s="30" t="s">
        <v>11</v>
      </c>
      <c r="G6" s="30" t="s">
        <v>10</v>
      </c>
      <c r="H6" s="30" t="s">
        <v>11</v>
      </c>
      <c r="I6" s="34"/>
      <c r="J6" s="33"/>
      <c r="K6" s="33"/>
      <c r="L6" s="33"/>
    </row>
    <row r="7" ht="8.25" customHeight="1" spans="1:169">
      <c r="A7" s="37"/>
      <c r="B7" s="37"/>
      <c r="C7" s="37"/>
      <c r="D7" s="37"/>
      <c r="E7" s="37"/>
      <c r="F7" s="37"/>
      <c r="G7" s="37"/>
      <c r="H7" s="37"/>
      <c r="I7" s="37"/>
      <c r="J7" s="33"/>
      <c r="K7" s="33"/>
      <c r="L7" s="33"/>
    </row>
    <row r="8" ht="16.5" customHeight="1" spans="1:169">
      <c r="A8" s="38" t="s">
        <v>12</v>
      </c>
      <c r="B8" s="39" t="s">
        <v>13</v>
      </c>
      <c r="C8" s="39"/>
      <c r="D8" s="39"/>
      <c r="E8" s="39"/>
      <c r="F8" s="40"/>
      <c r="G8" s="40"/>
      <c r="H8" s="40"/>
      <c r="I8" s="41"/>
      <c r="J8" s="33"/>
      <c r="K8" s="33"/>
      <c r="L8" s="33"/>
    </row>
    <row r="9" ht="15" customHeight="1" spans="1:169">
      <c r="A9" s="42">
        <v>1</v>
      </c>
      <c r="B9" s="43" t="s">
        <v>14</v>
      </c>
      <c r="C9" s="40"/>
      <c r="D9" s="40" t="s">
        <v>15</v>
      </c>
      <c r="E9" s="40">
        <v>70</v>
      </c>
      <c r="F9" s="40">
        <f t="shared" ref="F9:F24" si="0">C9*E9</f>
        <v>0</v>
      </c>
      <c r="G9" s="44">
        <v>25</v>
      </c>
      <c r="H9" s="40">
        <f t="shared" ref="H9:H11" si="1">SUM(G9*C9)</f>
        <v>0</v>
      </c>
      <c r="I9" s="45" t="s">
        <v>16</v>
      </c>
      <c r="J9" s="33"/>
      <c r="K9" s="33"/>
      <c r="L9" s="33"/>
    </row>
    <row r="10" ht="17" customHeight="1" spans="1:169">
      <c r="A10" s="42">
        <v>2</v>
      </c>
      <c r="B10" s="46" t="s">
        <v>17</v>
      </c>
      <c r="C10" s="42"/>
      <c r="D10" s="40" t="s">
        <v>18</v>
      </c>
      <c r="E10" s="42">
        <v>95</v>
      </c>
      <c r="F10" s="40">
        <f t="shared" si="0"/>
        <v>0</v>
      </c>
      <c r="G10" s="42">
        <v>55</v>
      </c>
      <c r="H10" s="40">
        <f t="shared" si="1"/>
        <v>0</v>
      </c>
      <c r="I10" s="41" t="s">
        <v>19</v>
      </c>
    </row>
    <row r="11" s="4" customFormat="1" ht="26.25" customHeight="1" spans="1:169">
      <c r="A11" s="42">
        <v>3</v>
      </c>
      <c r="B11" s="47" t="s">
        <v>20</v>
      </c>
      <c r="C11" s="48"/>
      <c r="D11" s="49" t="s">
        <v>21</v>
      </c>
      <c r="E11" s="49">
        <v>125</v>
      </c>
      <c r="F11" s="49">
        <f t="shared" si="0"/>
        <v>0</v>
      </c>
      <c r="G11" s="49">
        <v>65</v>
      </c>
      <c r="H11" s="49">
        <f t="shared" si="1"/>
        <v>0</v>
      </c>
      <c r="I11" s="50" t="s">
        <v>22</v>
      </c>
      <c r="J11" s="51"/>
      <c r="K11" s="51"/>
      <c r="L11" s="51" t="s">
        <v>23</v>
      </c>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3"/>
    </row>
    <row r="12" ht="16.5" customHeight="1" spans="1:169">
      <c r="A12" s="42">
        <v>4</v>
      </c>
      <c r="B12" s="43" t="s">
        <v>24</v>
      </c>
      <c r="C12" s="40"/>
      <c r="D12" s="40" t="s">
        <v>25</v>
      </c>
      <c r="E12" s="40">
        <v>38</v>
      </c>
      <c r="F12" s="40">
        <f t="shared" si="0"/>
        <v>0</v>
      </c>
      <c r="G12" s="40">
        <v>22</v>
      </c>
      <c r="H12" s="40">
        <f>C12*G12</f>
        <v>0</v>
      </c>
      <c r="I12" s="54" t="s">
        <v>26</v>
      </c>
      <c r="J12" s="55"/>
      <c r="K12" s="55"/>
      <c r="L12" s="55"/>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row>
    <row r="13" s="5" customFormat="1" ht="17.25" customHeight="1" spans="1:169">
      <c r="A13" s="42">
        <v>5</v>
      </c>
      <c r="B13" s="57" t="s">
        <v>27</v>
      </c>
      <c r="C13" s="40"/>
      <c r="D13" s="42" t="s">
        <v>15</v>
      </c>
      <c r="E13" s="42">
        <v>14</v>
      </c>
      <c r="F13" s="40">
        <f t="shared" si="0"/>
        <v>0</v>
      </c>
      <c r="G13" s="42">
        <v>8</v>
      </c>
      <c r="H13" s="40">
        <f>C13*G13</f>
        <v>0</v>
      </c>
      <c r="I13" s="58" t="s">
        <v>28</v>
      </c>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60"/>
    </row>
    <row r="14" s="5" customFormat="1" ht="17.25" customHeight="1" spans="1:169">
      <c r="A14" s="42">
        <v>6</v>
      </c>
      <c r="B14" s="61" t="s">
        <v>29</v>
      </c>
      <c r="C14" s="40"/>
      <c r="D14" s="42" t="s">
        <v>15</v>
      </c>
      <c r="E14" s="42">
        <v>16</v>
      </c>
      <c r="F14" s="40">
        <f t="shared" si="0"/>
        <v>0</v>
      </c>
      <c r="G14" s="42">
        <v>10</v>
      </c>
      <c r="H14" s="40">
        <f>C14*G14</f>
        <v>0</v>
      </c>
      <c r="I14" s="58" t="s">
        <v>28</v>
      </c>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60"/>
    </row>
    <row r="15" ht="17.25" customHeight="1" spans="1:169">
      <c r="A15" s="42">
        <v>7</v>
      </c>
      <c r="B15" s="62" t="s">
        <v>30</v>
      </c>
      <c r="C15" s="40"/>
      <c r="D15" s="42" t="s">
        <v>15</v>
      </c>
      <c r="E15" s="42">
        <v>4</v>
      </c>
      <c r="F15" s="40">
        <f t="shared" si="0"/>
        <v>0</v>
      </c>
      <c r="G15" s="42">
        <v>6.5</v>
      </c>
      <c r="H15" s="40">
        <f>C15*G15</f>
        <v>0</v>
      </c>
      <c r="I15" s="62" t="s">
        <v>31</v>
      </c>
    </row>
    <row r="16" s="6" customFormat="1" ht="25" customHeight="1" spans="1:169">
      <c r="A16" s="42">
        <v>8</v>
      </c>
      <c r="B16" s="63" t="s">
        <v>32</v>
      </c>
      <c r="C16" s="49"/>
      <c r="D16" s="49" t="s">
        <v>21</v>
      </c>
      <c r="E16" s="49">
        <v>28</v>
      </c>
      <c r="F16" s="49">
        <f t="shared" si="0"/>
        <v>0</v>
      </c>
      <c r="G16" s="49">
        <v>32</v>
      </c>
      <c r="H16" s="49">
        <f>C16*G16</f>
        <v>0</v>
      </c>
      <c r="I16" s="64" t="s">
        <v>33</v>
      </c>
      <c r="J16" s="65"/>
      <c r="K16" s="65"/>
      <c r="L16" s="65"/>
    </row>
    <row r="17" ht="16.5" customHeight="1" spans="1:12">
      <c r="A17" s="42">
        <v>9</v>
      </c>
      <c r="B17" s="43" t="s">
        <v>34</v>
      </c>
      <c r="C17" s="40"/>
      <c r="D17" s="40" t="s">
        <v>18</v>
      </c>
      <c r="E17" s="40">
        <v>0</v>
      </c>
      <c r="F17" s="40">
        <f t="shared" si="0"/>
        <v>0</v>
      </c>
      <c r="G17" s="40">
        <v>2.5</v>
      </c>
      <c r="H17" s="40">
        <f>SUM(G17*C17)</f>
        <v>0</v>
      </c>
      <c r="I17" s="41" t="s">
        <v>35</v>
      </c>
      <c r="J17" s="33"/>
      <c r="K17" s="33"/>
      <c r="L17" s="33"/>
    </row>
    <row r="18" ht="16.5" customHeight="1" spans="1:12">
      <c r="A18" s="42">
        <v>10</v>
      </c>
      <c r="B18" s="66" t="s">
        <v>36</v>
      </c>
      <c r="C18" s="42"/>
      <c r="D18" s="42" t="s">
        <v>37</v>
      </c>
      <c r="E18" s="42">
        <v>135</v>
      </c>
      <c r="F18" s="40">
        <f t="shared" si="0"/>
        <v>0</v>
      </c>
      <c r="G18" s="42">
        <v>95</v>
      </c>
      <c r="H18" s="40">
        <f>SUM(G18*C18)</f>
        <v>0</v>
      </c>
      <c r="I18" s="62" t="s">
        <v>38</v>
      </c>
    </row>
    <row r="19" ht="16.5" customHeight="1" spans="1:12">
      <c r="A19" s="42">
        <v>11</v>
      </c>
      <c r="B19" s="43" t="s">
        <v>39</v>
      </c>
      <c r="C19" s="40"/>
      <c r="D19" s="42" t="s">
        <v>37</v>
      </c>
      <c r="E19" s="40">
        <v>2</v>
      </c>
      <c r="F19" s="40">
        <f t="shared" si="0"/>
        <v>0</v>
      </c>
      <c r="G19" s="40">
        <v>4</v>
      </c>
      <c r="H19" s="40">
        <f t="shared" ref="H19:H24" si="2">SUM(G19*C19)</f>
        <v>0</v>
      </c>
      <c r="I19" s="41" t="s">
        <v>40</v>
      </c>
      <c r="J19" s="33"/>
      <c r="K19" s="33"/>
      <c r="L19" s="33"/>
    </row>
    <row r="20" ht="27" customHeight="1" spans="1:12">
      <c r="A20" s="42">
        <v>12</v>
      </c>
      <c r="B20" s="43" t="s">
        <v>41</v>
      </c>
      <c r="C20" s="40"/>
      <c r="D20" s="40" t="s">
        <v>18</v>
      </c>
      <c r="E20" s="40">
        <v>19</v>
      </c>
      <c r="F20" s="40">
        <f t="shared" si="0"/>
        <v>0</v>
      </c>
      <c r="G20" s="40">
        <v>13</v>
      </c>
      <c r="H20" s="40">
        <f t="shared" si="2"/>
        <v>0</v>
      </c>
      <c r="I20" s="41" t="s">
        <v>42</v>
      </c>
      <c r="J20" s="33"/>
      <c r="K20" s="33"/>
      <c r="L20" s="33"/>
    </row>
    <row r="21" ht="27" customHeight="1" spans="1:12">
      <c r="A21" s="42">
        <v>13</v>
      </c>
      <c r="B21" s="43" t="s">
        <v>43</v>
      </c>
      <c r="C21" s="40"/>
      <c r="D21" s="40" t="s">
        <v>18</v>
      </c>
      <c r="E21" s="40">
        <v>12</v>
      </c>
      <c r="F21" s="40">
        <f t="shared" si="0"/>
        <v>0</v>
      </c>
      <c r="G21" s="40">
        <v>7</v>
      </c>
      <c r="H21" s="40">
        <f t="shared" si="2"/>
        <v>0</v>
      </c>
      <c r="I21" s="41" t="s">
        <v>44</v>
      </c>
      <c r="J21" s="33"/>
      <c r="K21" s="33"/>
      <c r="L21" s="33"/>
    </row>
    <row r="22" ht="17.15" customHeight="1" spans="1:12">
      <c r="A22" s="42">
        <v>14</v>
      </c>
      <c r="B22" s="43" t="s">
        <v>45</v>
      </c>
      <c r="C22" s="40"/>
      <c r="D22" s="40" t="s">
        <v>46</v>
      </c>
      <c r="E22" s="40">
        <v>160</v>
      </c>
      <c r="F22" s="40">
        <f t="shared" si="0"/>
        <v>0</v>
      </c>
      <c r="G22" s="40">
        <v>360</v>
      </c>
      <c r="H22" s="40">
        <f t="shared" si="2"/>
        <v>0</v>
      </c>
      <c r="I22" s="41" t="s">
        <v>47</v>
      </c>
      <c r="J22" s="33"/>
      <c r="K22" s="33"/>
      <c r="L22" s="33"/>
    </row>
    <row r="23" ht="15" customHeight="1" spans="1:12">
      <c r="A23" s="42">
        <v>15</v>
      </c>
      <c r="B23" s="43" t="s">
        <v>48</v>
      </c>
      <c r="C23" s="40"/>
      <c r="D23" s="40" t="s">
        <v>18</v>
      </c>
      <c r="E23" s="40">
        <v>25</v>
      </c>
      <c r="F23" s="40">
        <f t="shared" si="0"/>
        <v>0</v>
      </c>
      <c r="G23" s="40">
        <v>10</v>
      </c>
      <c r="H23" s="40">
        <f t="shared" si="2"/>
        <v>0</v>
      </c>
      <c r="I23" s="41" t="s">
        <v>49</v>
      </c>
      <c r="J23" s="33"/>
      <c r="K23" s="33"/>
      <c r="L23" s="33"/>
    </row>
    <row r="24" ht="15" customHeight="1" spans="1:12">
      <c r="A24" s="42">
        <v>16</v>
      </c>
      <c r="B24" s="43" t="s">
        <v>50</v>
      </c>
      <c r="C24" s="40"/>
      <c r="D24" s="40" t="s">
        <v>18</v>
      </c>
      <c r="E24" s="40">
        <v>12</v>
      </c>
      <c r="F24" s="40">
        <f t="shared" si="0"/>
        <v>0</v>
      </c>
      <c r="G24" s="40">
        <v>5</v>
      </c>
      <c r="H24" s="40">
        <f t="shared" si="2"/>
        <v>0</v>
      </c>
      <c r="I24" s="41" t="s">
        <v>51</v>
      </c>
      <c r="J24" s="33"/>
      <c r="K24" s="33"/>
      <c r="L24" s="33"/>
    </row>
    <row r="25" s="7" customFormat="1" ht="18" customHeight="1" spans="1:12">
      <c r="A25" s="67"/>
      <c r="B25" s="68" t="s">
        <v>52</v>
      </c>
      <c r="C25" s="67"/>
      <c r="D25" s="67"/>
      <c r="E25" s="67"/>
      <c r="F25" s="67">
        <f>SUM(F9:F24)</f>
        <v>0</v>
      </c>
      <c r="G25" s="67"/>
      <c r="H25" s="67">
        <f>SUM(H9:H24)</f>
        <v>0</v>
      </c>
      <c r="I25" s="69"/>
      <c r="J25" s="70"/>
      <c r="K25" s="70"/>
      <c r="L25" s="70"/>
    </row>
    <row r="26" ht="18" customHeight="1" spans="1:12">
      <c r="A26" s="38" t="s">
        <v>53</v>
      </c>
      <c r="B26" s="71" t="s">
        <v>54</v>
      </c>
      <c r="C26" s="40"/>
      <c r="D26" s="40"/>
      <c r="E26" s="40"/>
      <c r="F26" s="40"/>
      <c r="G26" s="40"/>
      <c r="H26" s="40"/>
      <c r="I26" s="41"/>
      <c r="J26" s="33"/>
      <c r="K26" s="33"/>
      <c r="L26" s="33"/>
    </row>
    <row r="27" s="6" customFormat="1" ht="24" customHeight="1" spans="1:12">
      <c r="A27" s="49">
        <v>1</v>
      </c>
      <c r="B27" s="72" t="s">
        <v>55</v>
      </c>
      <c r="C27" s="49"/>
      <c r="D27" s="49" t="s">
        <v>21</v>
      </c>
      <c r="E27" s="49">
        <v>28</v>
      </c>
      <c r="F27" s="49">
        <f t="shared" ref="F27:F32" si="3">C27*E27</f>
        <v>0</v>
      </c>
      <c r="G27" s="49">
        <v>32</v>
      </c>
      <c r="H27" s="49">
        <f t="shared" ref="H27:H32" si="4">SUM(G27*C27)</f>
        <v>0</v>
      </c>
      <c r="I27" s="64" t="s">
        <v>33</v>
      </c>
      <c r="J27" s="65"/>
      <c r="K27" s="65"/>
      <c r="L27" s="65"/>
    </row>
    <row r="28" s="6" customFormat="1" ht="15" customHeight="1" spans="1:12">
      <c r="A28" s="49">
        <v>2</v>
      </c>
      <c r="B28" s="72" t="s">
        <v>56</v>
      </c>
      <c r="C28" s="49"/>
      <c r="D28" s="49" t="s">
        <v>21</v>
      </c>
      <c r="E28" s="49">
        <v>28</v>
      </c>
      <c r="F28" s="49">
        <f t="shared" si="3"/>
        <v>0</v>
      </c>
      <c r="G28" s="49">
        <v>40</v>
      </c>
      <c r="H28" s="49">
        <f t="shared" si="4"/>
        <v>0</v>
      </c>
      <c r="I28" s="64" t="s">
        <v>57</v>
      </c>
      <c r="J28" s="65"/>
      <c r="K28" s="65"/>
      <c r="L28" s="65"/>
    </row>
    <row r="29" ht="16" customHeight="1" spans="1:12">
      <c r="A29" s="49">
        <v>3</v>
      </c>
      <c r="B29" s="45" t="s">
        <v>58</v>
      </c>
      <c r="C29" s="40"/>
      <c r="D29" s="40" t="s">
        <v>18</v>
      </c>
      <c r="E29" s="40">
        <v>0</v>
      </c>
      <c r="F29" s="40">
        <f t="shared" si="3"/>
        <v>0</v>
      </c>
      <c r="G29" s="40">
        <v>9</v>
      </c>
      <c r="H29" s="40">
        <f t="shared" si="4"/>
        <v>0</v>
      </c>
      <c r="I29" s="41" t="s">
        <v>59</v>
      </c>
      <c r="J29" s="33"/>
      <c r="K29" s="33"/>
      <c r="L29" s="33"/>
    </row>
    <row r="30" s="8" customFormat="1" ht="15" customHeight="1" spans="1:12">
      <c r="A30" s="49">
        <v>4</v>
      </c>
      <c r="B30" s="73" t="s">
        <v>60</v>
      </c>
      <c r="C30" s="40"/>
      <c r="D30" s="40" t="s">
        <v>15</v>
      </c>
      <c r="E30" s="40">
        <v>8</v>
      </c>
      <c r="F30" s="40">
        <f t="shared" si="3"/>
        <v>0</v>
      </c>
      <c r="G30" s="40">
        <v>20</v>
      </c>
      <c r="H30" s="40">
        <f t="shared" si="4"/>
        <v>0</v>
      </c>
      <c r="I30" s="41" t="s">
        <v>61</v>
      </c>
      <c r="J30" s="74"/>
      <c r="K30" s="74"/>
      <c r="L30" s="74"/>
    </row>
    <row r="31" ht="15" customHeight="1" spans="1:12">
      <c r="A31" s="49">
        <v>5</v>
      </c>
      <c r="B31" s="43" t="s">
        <v>34</v>
      </c>
      <c r="C31" s="40"/>
      <c r="D31" s="40" t="s">
        <v>18</v>
      </c>
      <c r="E31" s="40">
        <v>0</v>
      </c>
      <c r="F31" s="40">
        <f t="shared" si="3"/>
        <v>0</v>
      </c>
      <c r="G31" s="40">
        <v>2.5</v>
      </c>
      <c r="H31" s="40">
        <f t="shared" si="4"/>
        <v>0</v>
      </c>
      <c r="I31" s="41" t="s">
        <v>62</v>
      </c>
      <c r="J31" s="33"/>
      <c r="K31" s="33"/>
      <c r="L31" s="33"/>
    </row>
    <row r="32" ht="15" customHeight="1" spans="1:12">
      <c r="A32" s="49">
        <v>6</v>
      </c>
      <c r="B32" s="43" t="s">
        <v>63</v>
      </c>
      <c r="C32" s="40"/>
      <c r="D32" s="40" t="s">
        <v>18</v>
      </c>
      <c r="E32" s="40">
        <v>45</v>
      </c>
      <c r="F32" s="40">
        <f t="shared" si="3"/>
        <v>0</v>
      </c>
      <c r="G32" s="40">
        <v>20</v>
      </c>
      <c r="H32" s="40">
        <f t="shared" si="4"/>
        <v>0</v>
      </c>
      <c r="I32" s="41" t="s">
        <v>64</v>
      </c>
      <c r="J32" s="33"/>
      <c r="K32" s="33"/>
      <c r="L32" s="33"/>
    </row>
    <row r="33" ht="15" customHeight="1" spans="1:12">
      <c r="A33" s="49">
        <v>7</v>
      </c>
      <c r="B33" s="43" t="s">
        <v>50</v>
      </c>
      <c r="C33" s="40"/>
      <c r="D33" s="40" t="s">
        <v>18</v>
      </c>
      <c r="E33" s="40">
        <v>12</v>
      </c>
      <c r="F33" s="40">
        <f t="shared" ref="F33:F42" si="5">C33*E33</f>
        <v>0</v>
      </c>
      <c r="G33" s="40">
        <v>5</v>
      </c>
      <c r="H33" s="40">
        <f t="shared" ref="H33:H42" si="6">SUM(G33*C33)</f>
        <v>0</v>
      </c>
      <c r="I33" s="41" t="s">
        <v>51</v>
      </c>
      <c r="J33" s="33"/>
      <c r="K33" s="33"/>
      <c r="L33" s="33"/>
    </row>
    <row r="34" s="9" customFormat="1" ht="17.25" customHeight="1" spans="1:12">
      <c r="A34" s="75"/>
      <c r="B34" s="76" t="s">
        <v>52</v>
      </c>
      <c r="C34" s="75"/>
      <c r="D34" s="75"/>
      <c r="E34" s="77"/>
      <c r="F34" s="78">
        <f>SUM(F27:F33)</f>
        <v>0</v>
      </c>
      <c r="G34" s="75"/>
      <c r="H34" s="78">
        <f>SUM(H27:H33)</f>
        <v>0</v>
      </c>
      <c r="I34" s="79"/>
      <c r="J34" s="80"/>
      <c r="K34" s="80"/>
      <c r="L34" s="80"/>
    </row>
    <row r="35" ht="17.25" customHeight="1" spans="1:12">
      <c r="A35" s="40" t="s">
        <v>65</v>
      </c>
      <c r="B35" s="71" t="s">
        <v>66</v>
      </c>
      <c r="C35" s="40"/>
      <c r="D35" s="40"/>
      <c r="E35" s="40"/>
      <c r="F35" s="40"/>
      <c r="G35" s="40"/>
      <c r="H35" s="40"/>
      <c r="I35" s="41"/>
      <c r="J35" s="33"/>
      <c r="K35" s="33"/>
      <c r="L35" s="33"/>
    </row>
    <row r="36" s="6" customFormat="1" ht="24" customHeight="1" spans="1:12">
      <c r="A36" s="49">
        <v>1</v>
      </c>
      <c r="B36" s="72" t="s">
        <v>55</v>
      </c>
      <c r="C36" s="49"/>
      <c r="D36" s="49" t="s">
        <v>21</v>
      </c>
      <c r="E36" s="49">
        <v>28</v>
      </c>
      <c r="F36" s="49">
        <f t="shared" si="5"/>
        <v>0</v>
      </c>
      <c r="G36" s="49">
        <v>32</v>
      </c>
      <c r="H36" s="49">
        <f t="shared" si="6"/>
        <v>0</v>
      </c>
      <c r="I36" s="64" t="s">
        <v>33</v>
      </c>
      <c r="J36" s="65"/>
      <c r="K36" s="65"/>
      <c r="L36" s="65"/>
    </row>
    <row r="37" s="6" customFormat="1" ht="14.25" customHeight="1" spans="1:12">
      <c r="A37" s="49">
        <v>2</v>
      </c>
      <c r="B37" s="72" t="s">
        <v>56</v>
      </c>
      <c r="C37" s="49"/>
      <c r="D37" s="49" t="s">
        <v>21</v>
      </c>
      <c r="E37" s="49">
        <v>28</v>
      </c>
      <c r="F37" s="49">
        <f t="shared" si="5"/>
        <v>0</v>
      </c>
      <c r="G37" s="49">
        <v>40</v>
      </c>
      <c r="H37" s="49">
        <f t="shared" si="6"/>
        <v>0</v>
      </c>
      <c r="I37" s="64" t="s">
        <v>57</v>
      </c>
      <c r="J37" s="65"/>
      <c r="K37" s="65"/>
      <c r="L37" s="65"/>
    </row>
    <row r="38" ht="16" customHeight="1" spans="1:12">
      <c r="A38" s="49">
        <v>3</v>
      </c>
      <c r="B38" s="45" t="s">
        <v>58</v>
      </c>
      <c r="C38" s="40"/>
      <c r="D38" s="40" t="s">
        <v>18</v>
      </c>
      <c r="E38" s="40">
        <v>0</v>
      </c>
      <c r="F38" s="40">
        <f t="shared" si="5"/>
        <v>0</v>
      </c>
      <c r="G38" s="40">
        <v>9</v>
      </c>
      <c r="H38" s="40">
        <f t="shared" si="6"/>
        <v>0</v>
      </c>
      <c r="I38" s="41" t="s">
        <v>59</v>
      </c>
      <c r="J38" s="33"/>
      <c r="K38" s="33"/>
      <c r="L38" s="33"/>
    </row>
    <row r="39" s="8" customFormat="1" ht="14.25" customHeight="1" spans="1:12">
      <c r="A39" s="49">
        <v>4</v>
      </c>
      <c r="B39" s="73" t="s">
        <v>60</v>
      </c>
      <c r="C39" s="40"/>
      <c r="D39" s="40" t="s">
        <v>15</v>
      </c>
      <c r="E39" s="40">
        <v>8</v>
      </c>
      <c r="F39" s="40">
        <f t="shared" si="5"/>
        <v>0</v>
      </c>
      <c r="G39" s="40">
        <v>20</v>
      </c>
      <c r="H39" s="40">
        <f t="shared" si="6"/>
        <v>0</v>
      </c>
      <c r="I39" s="41" t="s">
        <v>61</v>
      </c>
      <c r="J39" s="74"/>
      <c r="K39" s="74"/>
      <c r="L39" s="74"/>
    </row>
    <row r="40" ht="14" customHeight="1" spans="1:12">
      <c r="A40" s="49">
        <v>5</v>
      </c>
      <c r="B40" s="43" t="s">
        <v>34</v>
      </c>
      <c r="C40" s="40"/>
      <c r="D40" s="40" t="s">
        <v>18</v>
      </c>
      <c r="E40" s="40"/>
      <c r="F40" s="40">
        <f t="shared" si="5"/>
        <v>0</v>
      </c>
      <c r="G40" s="40">
        <v>2.5</v>
      </c>
      <c r="H40" s="40">
        <f t="shared" si="6"/>
        <v>0</v>
      </c>
      <c r="I40" s="41" t="s">
        <v>62</v>
      </c>
      <c r="J40" s="33"/>
      <c r="K40" s="33"/>
      <c r="L40" s="33"/>
    </row>
    <row r="41" ht="15" customHeight="1" spans="1:12">
      <c r="A41" s="49">
        <v>6</v>
      </c>
      <c r="B41" s="43" t="s">
        <v>63</v>
      </c>
      <c r="C41" s="40"/>
      <c r="D41" s="40" t="s">
        <v>18</v>
      </c>
      <c r="E41" s="40">
        <v>45</v>
      </c>
      <c r="F41" s="40">
        <f t="shared" si="5"/>
        <v>0</v>
      </c>
      <c r="G41" s="40">
        <v>20</v>
      </c>
      <c r="H41" s="40">
        <f t="shared" si="6"/>
        <v>0</v>
      </c>
      <c r="I41" s="41" t="s">
        <v>67</v>
      </c>
      <c r="J41" s="33"/>
      <c r="K41" s="33"/>
      <c r="L41" s="33"/>
    </row>
    <row r="42" ht="14.25" customHeight="1" spans="1:12">
      <c r="A42" s="49">
        <v>7</v>
      </c>
      <c r="B42" s="43" t="s">
        <v>68</v>
      </c>
      <c r="C42" s="40"/>
      <c r="D42" s="40" t="s">
        <v>18</v>
      </c>
      <c r="E42" s="40">
        <v>22</v>
      </c>
      <c r="F42" s="40">
        <f t="shared" si="5"/>
        <v>0</v>
      </c>
      <c r="G42" s="40">
        <v>12</v>
      </c>
      <c r="H42" s="40">
        <f t="shared" si="6"/>
        <v>0</v>
      </c>
      <c r="I42" s="41" t="s">
        <v>69</v>
      </c>
      <c r="J42" s="33"/>
      <c r="K42" s="33"/>
      <c r="L42" s="33"/>
    </row>
    <row r="43" ht="15" customHeight="1" spans="1:12">
      <c r="A43" s="49">
        <v>8</v>
      </c>
      <c r="B43" s="43" t="s">
        <v>70</v>
      </c>
      <c r="C43" s="40"/>
      <c r="D43" s="40" t="s">
        <v>18</v>
      </c>
      <c r="E43" s="40">
        <v>45</v>
      </c>
      <c r="F43" s="40">
        <f t="shared" ref="F43:F51" si="7">C43*E43</f>
        <v>0</v>
      </c>
      <c r="G43" s="40">
        <v>20</v>
      </c>
      <c r="H43" s="40">
        <f t="shared" ref="H43:H51" si="8">SUM(G43*C43)</f>
        <v>0</v>
      </c>
      <c r="I43" s="41" t="s">
        <v>71</v>
      </c>
      <c r="J43" s="33"/>
      <c r="K43" s="33"/>
      <c r="L43" s="33"/>
    </row>
    <row r="44" ht="15" customHeight="1" spans="1:12">
      <c r="A44" s="49">
        <v>9</v>
      </c>
      <c r="B44" s="43" t="s">
        <v>50</v>
      </c>
      <c r="C44" s="40"/>
      <c r="D44" s="40" t="s">
        <v>18</v>
      </c>
      <c r="E44" s="40">
        <v>12</v>
      </c>
      <c r="F44" s="40">
        <f t="shared" si="7"/>
        <v>0</v>
      </c>
      <c r="G44" s="40">
        <v>5</v>
      </c>
      <c r="H44" s="40">
        <f t="shared" si="8"/>
        <v>0</v>
      </c>
      <c r="I44" s="41" t="s">
        <v>51</v>
      </c>
      <c r="J44" s="33"/>
      <c r="K44" s="33"/>
      <c r="L44" s="33"/>
    </row>
    <row r="45" s="7" customFormat="1" ht="18" customHeight="1" spans="1:12">
      <c r="A45" s="67"/>
      <c r="B45" s="68" t="s">
        <v>52</v>
      </c>
      <c r="C45" s="67"/>
      <c r="D45" s="67"/>
      <c r="E45" s="67"/>
      <c r="F45" s="67">
        <f>SUM(F36:F44)</f>
        <v>0</v>
      </c>
      <c r="G45" s="67"/>
      <c r="H45" s="67">
        <f>SUM(H36:H44)</f>
        <v>0</v>
      </c>
      <c r="I45" s="69"/>
      <c r="J45" s="70"/>
      <c r="K45" s="70"/>
      <c r="L45" s="70"/>
    </row>
    <row r="46" ht="18.75" customHeight="1" spans="1:12">
      <c r="A46" s="38" t="s">
        <v>72</v>
      </c>
      <c r="B46" s="81" t="s">
        <v>73</v>
      </c>
      <c r="C46" s="82"/>
      <c r="D46" s="82"/>
      <c r="E46" s="83"/>
      <c r="F46" s="40"/>
      <c r="G46" s="40"/>
      <c r="H46" s="40"/>
      <c r="I46" s="41"/>
      <c r="J46" s="33"/>
      <c r="K46" s="33"/>
      <c r="L46" s="33"/>
    </row>
    <row r="47" s="10" customFormat="1" ht="24" customHeight="1" spans="1:12">
      <c r="A47" s="49">
        <v>1</v>
      </c>
      <c r="B47" s="72" t="s">
        <v>74</v>
      </c>
      <c r="C47" s="49"/>
      <c r="D47" s="49" t="s">
        <v>21</v>
      </c>
      <c r="E47" s="49">
        <v>26</v>
      </c>
      <c r="F47" s="49">
        <f t="shared" si="7"/>
        <v>0</v>
      </c>
      <c r="G47" s="49">
        <v>20</v>
      </c>
      <c r="H47" s="49">
        <f t="shared" si="8"/>
        <v>0</v>
      </c>
      <c r="I47" s="64" t="s">
        <v>75</v>
      </c>
      <c r="J47" s="84"/>
      <c r="K47" s="84"/>
      <c r="L47" s="84"/>
    </row>
    <row r="48" ht="17" customHeight="1" spans="1:12">
      <c r="A48" s="49">
        <v>2</v>
      </c>
      <c r="B48" s="46" t="s">
        <v>17</v>
      </c>
      <c r="C48" s="42"/>
      <c r="D48" s="40" t="s">
        <v>18</v>
      </c>
      <c r="E48" s="42">
        <v>95</v>
      </c>
      <c r="F48" s="40">
        <f t="shared" si="7"/>
        <v>0</v>
      </c>
      <c r="G48" s="42">
        <v>55</v>
      </c>
      <c r="H48" s="40">
        <f t="shared" si="8"/>
        <v>0</v>
      </c>
      <c r="I48" s="41" t="s">
        <v>19</v>
      </c>
    </row>
    <row r="49" ht="16.5" customHeight="1" spans="1:12">
      <c r="A49" s="49">
        <v>3</v>
      </c>
      <c r="B49" s="43" t="s">
        <v>39</v>
      </c>
      <c r="C49" s="40"/>
      <c r="D49" s="42" t="s">
        <v>37</v>
      </c>
      <c r="E49" s="40">
        <v>2</v>
      </c>
      <c r="F49" s="40">
        <f t="shared" si="7"/>
        <v>0</v>
      </c>
      <c r="G49" s="40">
        <v>4</v>
      </c>
      <c r="H49" s="40">
        <f t="shared" si="8"/>
        <v>0</v>
      </c>
      <c r="I49" s="41" t="s">
        <v>40</v>
      </c>
      <c r="J49" s="33"/>
      <c r="K49" s="33"/>
      <c r="L49" s="33"/>
    </row>
    <row r="50" ht="26.25" customHeight="1" spans="1:12">
      <c r="A50" s="49">
        <v>4</v>
      </c>
      <c r="B50" s="43" t="s">
        <v>41</v>
      </c>
      <c r="C50" s="40"/>
      <c r="D50" s="40" t="s">
        <v>18</v>
      </c>
      <c r="E50" s="40">
        <v>19</v>
      </c>
      <c r="F50" s="40">
        <f t="shared" si="7"/>
        <v>0</v>
      </c>
      <c r="G50" s="40">
        <v>13</v>
      </c>
      <c r="H50" s="40">
        <f t="shared" si="8"/>
        <v>0</v>
      </c>
      <c r="I50" s="41" t="s">
        <v>42</v>
      </c>
      <c r="J50" s="33"/>
      <c r="K50" s="33"/>
      <c r="L50" s="33"/>
    </row>
    <row r="51" ht="27" customHeight="1" spans="1:12">
      <c r="A51" s="49">
        <v>5</v>
      </c>
      <c r="B51" s="43" t="s">
        <v>43</v>
      </c>
      <c r="C51" s="40"/>
      <c r="D51" s="40" t="s">
        <v>18</v>
      </c>
      <c r="E51" s="40">
        <v>12</v>
      </c>
      <c r="F51" s="40">
        <f t="shared" si="7"/>
        <v>0</v>
      </c>
      <c r="G51" s="40">
        <v>7</v>
      </c>
      <c r="H51" s="40">
        <f t="shared" si="8"/>
        <v>0</v>
      </c>
      <c r="I51" s="41" t="s">
        <v>44</v>
      </c>
      <c r="J51" s="33"/>
      <c r="K51" s="33"/>
      <c r="L51" s="33"/>
    </row>
    <row r="52" s="7" customFormat="1" ht="18" customHeight="1" spans="1:12">
      <c r="A52" s="67"/>
      <c r="B52" s="68" t="s">
        <v>52</v>
      </c>
      <c r="C52" s="67"/>
      <c r="D52" s="67"/>
      <c r="E52" s="67"/>
      <c r="F52" s="67">
        <f>SUM(F47:F51)</f>
        <v>0</v>
      </c>
      <c r="G52" s="67"/>
      <c r="H52" s="67">
        <f>SUM(H47:H51)</f>
        <v>0</v>
      </c>
      <c r="I52" s="69"/>
      <c r="J52" s="70"/>
      <c r="K52" s="70"/>
      <c r="L52" s="70"/>
    </row>
    <row r="53" ht="18" customHeight="1" spans="1:12">
      <c r="A53" s="38" t="s">
        <v>76</v>
      </c>
      <c r="B53" s="39" t="s">
        <v>77</v>
      </c>
      <c r="C53" s="40"/>
      <c r="D53" s="40"/>
      <c r="E53" s="40"/>
      <c r="F53" s="40"/>
      <c r="G53" s="40"/>
      <c r="H53" s="40"/>
      <c r="I53" s="41"/>
      <c r="J53" s="33"/>
      <c r="K53" s="33"/>
      <c r="L53" s="33"/>
    </row>
    <row r="54" s="6" customFormat="1" ht="27" customHeight="1" spans="1:12">
      <c r="A54" s="49">
        <v>1</v>
      </c>
      <c r="B54" s="72" t="s">
        <v>55</v>
      </c>
      <c r="C54" s="49"/>
      <c r="D54" s="49" t="s">
        <v>21</v>
      </c>
      <c r="E54" s="49">
        <v>28</v>
      </c>
      <c r="F54" s="49">
        <f t="shared" ref="F54:F56" si="9">C54*E54</f>
        <v>0</v>
      </c>
      <c r="G54" s="49">
        <v>32</v>
      </c>
      <c r="H54" s="49">
        <f t="shared" ref="H54:H56" si="10">SUM(G54*C54)</f>
        <v>0</v>
      </c>
      <c r="I54" s="64" t="s">
        <v>33</v>
      </c>
      <c r="J54" s="65"/>
      <c r="K54" s="65"/>
      <c r="L54" s="65"/>
    </row>
    <row r="55" s="6" customFormat="1" ht="15" customHeight="1" spans="1:12">
      <c r="A55" s="49">
        <v>2</v>
      </c>
      <c r="B55" s="72" t="s">
        <v>56</v>
      </c>
      <c r="C55" s="49"/>
      <c r="D55" s="49" t="s">
        <v>21</v>
      </c>
      <c r="E55" s="49">
        <v>28</v>
      </c>
      <c r="F55" s="49">
        <f t="shared" si="9"/>
        <v>0</v>
      </c>
      <c r="G55" s="49">
        <v>40</v>
      </c>
      <c r="H55" s="49">
        <f t="shared" si="10"/>
        <v>0</v>
      </c>
      <c r="I55" s="64" t="s">
        <v>57</v>
      </c>
      <c r="J55" s="65"/>
      <c r="K55" s="65"/>
      <c r="L55" s="65"/>
    </row>
    <row r="56" ht="16" customHeight="1" spans="1:12">
      <c r="A56" s="49">
        <v>3</v>
      </c>
      <c r="B56" s="45" t="s">
        <v>58</v>
      </c>
      <c r="C56" s="40"/>
      <c r="D56" s="40" t="s">
        <v>18</v>
      </c>
      <c r="E56" s="40">
        <v>0</v>
      </c>
      <c r="F56" s="40">
        <f t="shared" si="9"/>
        <v>0</v>
      </c>
      <c r="G56" s="40">
        <v>9</v>
      </c>
      <c r="H56" s="40">
        <f t="shared" si="10"/>
        <v>0</v>
      </c>
      <c r="I56" s="41" t="s">
        <v>59</v>
      </c>
      <c r="J56" s="33"/>
      <c r="K56" s="33"/>
      <c r="L56" s="33"/>
    </row>
    <row r="57" s="8" customFormat="1" ht="15" customHeight="1" spans="1:12">
      <c r="A57" s="49">
        <v>4</v>
      </c>
      <c r="B57" s="73" t="s">
        <v>60</v>
      </c>
      <c r="C57" s="40"/>
      <c r="D57" s="40" t="s">
        <v>15</v>
      </c>
      <c r="E57" s="40">
        <v>8</v>
      </c>
      <c r="F57" s="40">
        <f t="shared" ref="F57:F62" si="11">C57*E57</f>
        <v>0</v>
      </c>
      <c r="G57" s="40">
        <v>20</v>
      </c>
      <c r="H57" s="40">
        <f t="shared" ref="H57:H62" si="12">SUM(G57*C57)</f>
        <v>0</v>
      </c>
      <c r="I57" s="41" t="s">
        <v>78</v>
      </c>
      <c r="J57" s="74"/>
      <c r="K57" s="74"/>
      <c r="L57" s="74"/>
    </row>
    <row r="58" ht="15" customHeight="1" spans="1:12">
      <c r="A58" s="49">
        <v>5</v>
      </c>
      <c r="B58" s="43" t="s">
        <v>34</v>
      </c>
      <c r="C58" s="40"/>
      <c r="D58" s="40" t="s">
        <v>18</v>
      </c>
      <c r="E58" s="40"/>
      <c r="F58" s="40">
        <f t="shared" si="11"/>
        <v>0</v>
      </c>
      <c r="G58" s="40">
        <v>2.5</v>
      </c>
      <c r="H58" s="40">
        <f t="shared" si="12"/>
        <v>0</v>
      </c>
      <c r="I58" s="41" t="s">
        <v>62</v>
      </c>
      <c r="J58" s="33"/>
      <c r="K58" s="33"/>
      <c r="L58" s="33"/>
    </row>
    <row r="59" ht="15" customHeight="1" spans="1:12">
      <c r="A59" s="49">
        <v>6</v>
      </c>
      <c r="B59" s="43" t="s">
        <v>63</v>
      </c>
      <c r="C59" s="40"/>
      <c r="D59" s="40" t="s">
        <v>18</v>
      </c>
      <c r="E59" s="40">
        <v>45</v>
      </c>
      <c r="F59" s="40">
        <f t="shared" si="11"/>
        <v>0</v>
      </c>
      <c r="G59" s="40">
        <v>20</v>
      </c>
      <c r="H59" s="40">
        <f t="shared" si="12"/>
        <v>0</v>
      </c>
      <c r="I59" s="41" t="s">
        <v>67</v>
      </c>
      <c r="J59" s="33"/>
      <c r="K59" s="33"/>
      <c r="L59" s="33"/>
    </row>
    <row r="60" ht="14.25" customHeight="1" spans="1:12">
      <c r="A60" s="49">
        <v>7</v>
      </c>
      <c r="B60" s="43" t="s">
        <v>68</v>
      </c>
      <c r="C60" s="40"/>
      <c r="D60" s="40" t="s">
        <v>18</v>
      </c>
      <c r="E60" s="40">
        <v>22</v>
      </c>
      <c r="F60" s="40">
        <f t="shared" si="11"/>
        <v>0</v>
      </c>
      <c r="G60" s="40">
        <v>12</v>
      </c>
      <c r="H60" s="40">
        <f t="shared" si="12"/>
        <v>0</v>
      </c>
      <c r="I60" s="41" t="s">
        <v>69</v>
      </c>
      <c r="J60" s="33"/>
      <c r="K60" s="33"/>
      <c r="L60" s="33"/>
    </row>
    <row r="61" ht="15" customHeight="1" spans="1:12">
      <c r="A61" s="49">
        <v>8</v>
      </c>
      <c r="B61" s="43" t="s">
        <v>70</v>
      </c>
      <c r="C61" s="40"/>
      <c r="D61" s="40" t="s">
        <v>18</v>
      </c>
      <c r="E61" s="40">
        <v>45</v>
      </c>
      <c r="F61" s="40">
        <f t="shared" si="11"/>
        <v>0</v>
      </c>
      <c r="G61" s="40">
        <v>20</v>
      </c>
      <c r="H61" s="40">
        <f t="shared" si="12"/>
        <v>0</v>
      </c>
      <c r="I61" s="41" t="s">
        <v>71</v>
      </c>
      <c r="J61" s="33"/>
      <c r="K61" s="33"/>
      <c r="L61" s="33"/>
    </row>
    <row r="62" ht="15" customHeight="1" spans="1:12">
      <c r="A62" s="49">
        <v>9</v>
      </c>
      <c r="B62" s="43" t="s">
        <v>50</v>
      </c>
      <c r="C62" s="40"/>
      <c r="D62" s="40" t="s">
        <v>18</v>
      </c>
      <c r="E62" s="40">
        <v>12</v>
      </c>
      <c r="F62" s="40">
        <f t="shared" si="11"/>
        <v>0</v>
      </c>
      <c r="G62" s="40">
        <v>5</v>
      </c>
      <c r="H62" s="40">
        <f t="shared" si="12"/>
        <v>0</v>
      </c>
      <c r="I62" s="41" t="s">
        <v>51</v>
      </c>
      <c r="J62" s="33"/>
      <c r="K62" s="33"/>
      <c r="L62" s="33"/>
    </row>
    <row r="63" s="7" customFormat="1" ht="16.5" customHeight="1" spans="1:12">
      <c r="A63" s="67"/>
      <c r="B63" s="68" t="s">
        <v>52</v>
      </c>
      <c r="C63" s="67"/>
      <c r="D63" s="67"/>
      <c r="E63" s="67"/>
      <c r="F63" s="67">
        <f>SUM(F54:F62)</f>
        <v>0</v>
      </c>
      <c r="G63" s="67"/>
      <c r="H63" s="67">
        <f>SUM(H54:H62)</f>
        <v>0</v>
      </c>
      <c r="I63" s="69"/>
      <c r="J63" s="70"/>
      <c r="K63" s="70"/>
      <c r="L63" s="70"/>
    </row>
    <row r="64" ht="18" customHeight="1" spans="1:12">
      <c r="A64" s="38" t="s">
        <v>79</v>
      </c>
      <c r="B64" s="39" t="s">
        <v>80</v>
      </c>
      <c r="C64" s="40"/>
      <c r="D64" s="40"/>
      <c r="E64" s="40"/>
      <c r="F64" s="40"/>
      <c r="G64" s="40"/>
      <c r="H64" s="40"/>
      <c r="I64" s="41"/>
      <c r="J64" s="33"/>
      <c r="K64" s="33"/>
      <c r="L64" s="33"/>
    </row>
    <row r="65" s="10" customFormat="1" ht="27" customHeight="1" spans="1:12">
      <c r="A65" s="49">
        <v>1</v>
      </c>
      <c r="B65" s="72" t="s">
        <v>74</v>
      </c>
      <c r="C65" s="49"/>
      <c r="D65" s="49" t="s">
        <v>21</v>
      </c>
      <c r="E65" s="49">
        <v>26</v>
      </c>
      <c r="F65" s="49">
        <f>C65*E65</f>
        <v>0</v>
      </c>
      <c r="G65" s="49">
        <v>20</v>
      </c>
      <c r="H65" s="49">
        <f>SUM(G65*C65)</f>
        <v>0</v>
      </c>
      <c r="I65" s="64" t="s">
        <v>75</v>
      </c>
      <c r="J65" s="84"/>
      <c r="K65" s="84"/>
      <c r="L65" s="84"/>
    </row>
    <row r="66" s="10" customFormat="1" ht="15.75" customHeight="1" spans="1:12">
      <c r="A66" s="49">
        <v>2</v>
      </c>
      <c r="B66" s="43" t="s">
        <v>81</v>
      </c>
      <c r="C66" s="40"/>
      <c r="D66" s="40" t="s">
        <v>15</v>
      </c>
      <c r="E66" s="40">
        <v>65</v>
      </c>
      <c r="F66" s="40">
        <f>C66*E66</f>
        <v>0</v>
      </c>
      <c r="G66" s="40">
        <v>85</v>
      </c>
      <c r="H66" s="40">
        <f>SUM(G66*C66)</f>
        <v>0</v>
      </c>
      <c r="I66" s="41" t="s">
        <v>82</v>
      </c>
      <c r="J66" s="33"/>
      <c r="K66" s="33"/>
      <c r="L66" s="33"/>
    </row>
    <row r="67" ht="16.5" customHeight="1" spans="1:12">
      <c r="A67" s="49">
        <v>3</v>
      </c>
      <c r="B67" s="43" t="s">
        <v>39</v>
      </c>
      <c r="C67" s="40"/>
      <c r="D67" s="42" t="s">
        <v>37</v>
      </c>
      <c r="E67" s="40">
        <v>2</v>
      </c>
      <c r="F67" s="40">
        <f t="shared" ref="F67:F69" si="13">C67*E67</f>
        <v>0</v>
      </c>
      <c r="G67" s="40">
        <v>4</v>
      </c>
      <c r="H67" s="40">
        <f>SUM(G67*C67)</f>
        <v>0</v>
      </c>
      <c r="I67" s="41" t="s">
        <v>40</v>
      </c>
      <c r="J67" s="33"/>
      <c r="K67" s="33"/>
      <c r="L67" s="33"/>
    </row>
    <row r="68" ht="26.25" customHeight="1" spans="1:12">
      <c r="A68" s="49">
        <v>4</v>
      </c>
      <c r="B68" s="43" t="s">
        <v>41</v>
      </c>
      <c r="C68" s="40"/>
      <c r="D68" s="40" t="s">
        <v>18</v>
      </c>
      <c r="E68" s="40">
        <v>19</v>
      </c>
      <c r="F68" s="40">
        <f t="shared" si="13"/>
        <v>0</v>
      </c>
      <c r="G68" s="40">
        <v>13</v>
      </c>
      <c r="H68" s="40">
        <f>SUM(G68*C68)</f>
        <v>0</v>
      </c>
      <c r="I68" s="41" t="s">
        <v>42</v>
      </c>
      <c r="J68" s="33"/>
      <c r="K68" s="33"/>
      <c r="L68" s="33"/>
    </row>
    <row r="69" ht="27" customHeight="1" spans="1:12">
      <c r="A69" s="49">
        <v>5</v>
      </c>
      <c r="B69" s="43" t="s">
        <v>43</v>
      </c>
      <c r="C69" s="40"/>
      <c r="D69" s="40" t="s">
        <v>18</v>
      </c>
      <c r="E69" s="40">
        <v>12</v>
      </c>
      <c r="F69" s="40">
        <f t="shared" si="13"/>
        <v>0</v>
      </c>
      <c r="G69" s="40">
        <v>7</v>
      </c>
      <c r="H69" s="40">
        <f>SUM(G69*C69)</f>
        <v>0</v>
      </c>
      <c r="I69" s="41" t="s">
        <v>44</v>
      </c>
      <c r="J69" s="33"/>
      <c r="K69" s="33"/>
      <c r="L69" s="33"/>
    </row>
    <row r="70" s="7" customFormat="1" ht="18" customHeight="1" spans="1:12">
      <c r="A70" s="67"/>
      <c r="B70" s="68" t="s">
        <v>52</v>
      </c>
      <c r="C70" s="67"/>
      <c r="D70" s="67"/>
      <c r="E70" s="67"/>
      <c r="F70" s="67">
        <f>SUM(F65:F69)</f>
        <v>0</v>
      </c>
      <c r="G70" s="67"/>
      <c r="H70" s="67">
        <f>SUM(H65:H69)</f>
        <v>0</v>
      </c>
      <c r="I70" s="69"/>
      <c r="J70" s="70"/>
      <c r="K70" s="70"/>
      <c r="L70" s="70"/>
    </row>
    <row r="71" ht="18" customHeight="1" spans="1:12">
      <c r="A71" s="38" t="s">
        <v>83</v>
      </c>
      <c r="B71" s="39" t="s">
        <v>84</v>
      </c>
      <c r="C71" s="40"/>
      <c r="D71" s="40"/>
      <c r="E71" s="40"/>
      <c r="F71" s="40"/>
      <c r="G71" s="40"/>
      <c r="H71" s="40"/>
      <c r="I71" s="41"/>
      <c r="J71" s="33"/>
      <c r="K71" s="33"/>
      <c r="L71" s="33"/>
    </row>
    <row r="72" s="10" customFormat="1" ht="27" customHeight="1" spans="1:12">
      <c r="A72" s="49">
        <v>1</v>
      </c>
      <c r="B72" s="72" t="s">
        <v>74</v>
      </c>
      <c r="C72" s="49"/>
      <c r="D72" s="49" t="s">
        <v>21</v>
      </c>
      <c r="E72" s="49">
        <v>26</v>
      </c>
      <c r="F72" s="49">
        <f>C72*E72</f>
        <v>0</v>
      </c>
      <c r="G72" s="49">
        <v>20</v>
      </c>
      <c r="H72" s="49">
        <f>SUM(G72*C72)</f>
        <v>0</v>
      </c>
      <c r="I72" s="64" t="s">
        <v>75</v>
      </c>
      <c r="J72" s="84"/>
      <c r="K72" s="84"/>
      <c r="L72" s="84"/>
    </row>
    <row r="73" ht="16.5" customHeight="1" spans="1:12">
      <c r="A73" s="49">
        <v>2</v>
      </c>
      <c r="B73" s="43" t="s">
        <v>39</v>
      </c>
      <c r="C73" s="40"/>
      <c r="D73" s="42" t="s">
        <v>37</v>
      </c>
      <c r="E73" s="40">
        <v>2</v>
      </c>
      <c r="F73" s="40">
        <f>C73*E73</f>
        <v>0</v>
      </c>
      <c r="G73" s="40">
        <v>4</v>
      </c>
      <c r="H73" s="40">
        <f>SUM(G73*C73)</f>
        <v>0</v>
      </c>
      <c r="I73" s="41" t="s">
        <v>40</v>
      </c>
      <c r="J73" s="33"/>
      <c r="K73" s="33"/>
      <c r="L73" s="33"/>
    </row>
    <row r="74" ht="26.25" customHeight="1" spans="1:12">
      <c r="A74" s="49">
        <v>3</v>
      </c>
      <c r="B74" s="43" t="s">
        <v>41</v>
      </c>
      <c r="C74" s="40"/>
      <c r="D74" s="40" t="s">
        <v>18</v>
      </c>
      <c r="E74" s="40">
        <v>19</v>
      </c>
      <c r="F74" s="40">
        <f>C74*E74</f>
        <v>0</v>
      </c>
      <c r="G74" s="40">
        <v>13</v>
      </c>
      <c r="H74" s="40">
        <f>SUM(G74*C74)</f>
        <v>0</v>
      </c>
      <c r="I74" s="41" t="s">
        <v>42</v>
      </c>
      <c r="J74" s="33"/>
      <c r="K74" s="33"/>
      <c r="L74" s="33"/>
    </row>
    <row r="75" ht="27" customHeight="1" spans="1:12">
      <c r="A75" s="49">
        <v>4</v>
      </c>
      <c r="B75" s="43" t="s">
        <v>43</v>
      </c>
      <c r="C75" s="40"/>
      <c r="D75" s="40" t="s">
        <v>18</v>
      </c>
      <c r="E75" s="40">
        <v>12</v>
      </c>
      <c r="F75" s="40">
        <f>C75*E75</f>
        <v>0</v>
      </c>
      <c r="G75" s="40">
        <v>7</v>
      </c>
      <c r="H75" s="40">
        <f>SUM(G75*C75)</f>
        <v>0</v>
      </c>
      <c r="I75" s="41" t="s">
        <v>44</v>
      </c>
      <c r="J75" s="33"/>
      <c r="K75" s="33"/>
      <c r="L75" s="33"/>
    </row>
    <row r="76" s="7" customFormat="1" ht="18" customHeight="1" spans="1:12">
      <c r="A76" s="67"/>
      <c r="B76" s="68" t="s">
        <v>52</v>
      </c>
      <c r="C76" s="67"/>
      <c r="D76" s="67"/>
      <c r="E76" s="67"/>
      <c r="F76" s="67">
        <f>SUM(F72:F75)</f>
        <v>0</v>
      </c>
      <c r="G76" s="67"/>
      <c r="H76" s="67">
        <f>SUM(H72:H75)</f>
        <v>0</v>
      </c>
      <c r="I76" s="69"/>
      <c r="J76" s="70"/>
      <c r="K76" s="70"/>
      <c r="L76" s="70"/>
    </row>
    <row r="77" ht="16.5" customHeight="1" spans="1:12">
      <c r="A77" s="38" t="s">
        <v>85</v>
      </c>
      <c r="B77" s="39" t="s">
        <v>86</v>
      </c>
      <c r="C77" s="40"/>
      <c r="D77" s="40"/>
      <c r="E77" s="40"/>
      <c r="F77" s="40"/>
      <c r="G77" s="40"/>
      <c r="H77" s="40"/>
      <c r="I77" s="41"/>
      <c r="J77" s="33"/>
      <c r="K77" s="33"/>
      <c r="L77" s="33"/>
    </row>
    <row r="78" ht="18" customHeight="1" spans="1:12">
      <c r="A78" s="40" t="s">
        <v>87</v>
      </c>
      <c r="B78" s="85" t="s">
        <v>88</v>
      </c>
      <c r="C78" s="86"/>
      <c r="D78" s="86"/>
      <c r="E78" s="87"/>
      <c r="F78" s="40"/>
      <c r="G78" s="40"/>
      <c r="H78" s="40"/>
      <c r="I78" s="41"/>
      <c r="J78" s="33"/>
      <c r="K78" s="33"/>
      <c r="L78" s="33"/>
    </row>
    <row r="79" s="6" customFormat="1" ht="16" customHeight="1" spans="1:12">
      <c r="A79" s="49">
        <v>1</v>
      </c>
      <c r="B79" s="72" t="s">
        <v>89</v>
      </c>
      <c r="C79" s="49"/>
      <c r="D79" s="49" t="s">
        <v>15</v>
      </c>
      <c r="E79" s="49">
        <v>14</v>
      </c>
      <c r="F79" s="49"/>
      <c r="G79" s="49">
        <v>12</v>
      </c>
      <c r="H79" s="49"/>
      <c r="I79" s="64" t="s">
        <v>90</v>
      </c>
      <c r="J79" s="65"/>
      <c r="K79" s="65"/>
      <c r="L79" s="65"/>
    </row>
    <row r="80" s="6" customFormat="1" ht="15" customHeight="1" spans="1:12">
      <c r="A80" s="49">
        <v>2</v>
      </c>
      <c r="B80" s="72" t="s">
        <v>91</v>
      </c>
      <c r="C80" s="49"/>
      <c r="D80" s="49" t="s">
        <v>15</v>
      </c>
      <c r="E80" s="49">
        <v>6</v>
      </c>
      <c r="F80" s="49"/>
      <c r="G80" s="49">
        <v>11</v>
      </c>
      <c r="H80" s="49"/>
      <c r="I80" s="64" t="s">
        <v>92</v>
      </c>
      <c r="J80" s="65"/>
      <c r="K80" s="65"/>
      <c r="L80" s="65"/>
    </row>
    <row r="81" s="6" customFormat="1" ht="15" customHeight="1" spans="1:12">
      <c r="A81" s="49">
        <v>3</v>
      </c>
      <c r="B81" s="72" t="s">
        <v>93</v>
      </c>
      <c r="C81" s="49"/>
      <c r="D81" s="49" t="s">
        <v>15</v>
      </c>
      <c r="E81" s="49">
        <v>6</v>
      </c>
      <c r="F81" s="49"/>
      <c r="G81" s="49">
        <v>11</v>
      </c>
      <c r="H81" s="49"/>
      <c r="I81" s="64" t="s">
        <v>94</v>
      </c>
      <c r="J81" s="65"/>
      <c r="K81" s="65"/>
      <c r="L81" s="65"/>
    </row>
    <row r="82" s="6" customFormat="1" ht="15" customHeight="1" spans="1:12">
      <c r="A82" s="49">
        <v>4</v>
      </c>
      <c r="B82" s="72" t="s">
        <v>95</v>
      </c>
      <c r="C82" s="49"/>
      <c r="D82" s="49" t="s">
        <v>15</v>
      </c>
      <c r="E82" s="49">
        <v>6</v>
      </c>
      <c r="F82" s="49"/>
      <c r="G82" s="49">
        <v>11</v>
      </c>
      <c r="H82" s="49"/>
      <c r="I82" s="64" t="s">
        <v>94</v>
      </c>
      <c r="J82" s="65"/>
      <c r="K82" s="65"/>
      <c r="L82" s="65"/>
    </row>
    <row r="83" s="6" customFormat="1" ht="15" customHeight="1" spans="1:12">
      <c r="A83" s="49">
        <v>5</v>
      </c>
      <c r="B83" s="72" t="s">
        <v>96</v>
      </c>
      <c r="C83" s="49"/>
      <c r="D83" s="49" t="s">
        <v>15</v>
      </c>
      <c r="E83" s="49">
        <v>6</v>
      </c>
      <c r="F83" s="49"/>
      <c r="G83" s="49">
        <v>11</v>
      </c>
      <c r="H83" s="49"/>
      <c r="I83" s="64" t="s">
        <v>94</v>
      </c>
      <c r="J83" s="65"/>
      <c r="K83" s="65"/>
      <c r="L83" s="65"/>
    </row>
    <row r="84" ht="15" customHeight="1" spans="1:12">
      <c r="A84" s="40">
        <v>6</v>
      </c>
      <c r="B84" s="43" t="s">
        <v>97</v>
      </c>
      <c r="C84" s="40"/>
      <c r="D84" s="40" t="s">
        <v>15</v>
      </c>
      <c r="E84" s="40">
        <v>10</v>
      </c>
      <c r="F84" s="40"/>
      <c r="G84" s="40">
        <v>6</v>
      </c>
      <c r="H84" s="40"/>
      <c r="I84" s="41" t="s">
        <v>98</v>
      </c>
      <c r="J84" s="33"/>
      <c r="K84" s="33"/>
      <c r="L84" s="33"/>
    </row>
    <row r="85" ht="15" customHeight="1" spans="1:12">
      <c r="A85" s="40">
        <v>7</v>
      </c>
      <c r="B85" s="43" t="s">
        <v>99</v>
      </c>
      <c r="C85" s="40"/>
      <c r="D85" s="40" t="s">
        <v>46</v>
      </c>
      <c r="E85" s="40">
        <v>75</v>
      </c>
      <c r="F85" s="40"/>
      <c r="G85" s="40">
        <v>45</v>
      </c>
      <c r="H85" s="44"/>
      <c r="I85" s="41" t="s">
        <v>100</v>
      </c>
      <c r="J85" s="33"/>
      <c r="K85" s="33"/>
      <c r="L85" s="33"/>
    </row>
    <row r="86" ht="15" customHeight="1" spans="1:12">
      <c r="A86" s="40">
        <v>8</v>
      </c>
      <c r="B86" s="43" t="s">
        <v>101</v>
      </c>
      <c r="C86" s="40"/>
      <c r="D86" s="40" t="s">
        <v>102</v>
      </c>
      <c r="E86" s="40">
        <v>2</v>
      </c>
      <c r="F86" s="40"/>
      <c r="G86" s="40">
        <v>4</v>
      </c>
      <c r="H86" s="40"/>
      <c r="I86" s="41" t="s">
        <v>103</v>
      </c>
      <c r="J86" s="33"/>
      <c r="K86" s="33"/>
      <c r="L86" s="33"/>
    </row>
    <row r="87" s="6" customFormat="1" ht="22.5" customHeight="1" spans="1:12">
      <c r="A87" s="49">
        <v>9</v>
      </c>
      <c r="B87" s="72" t="s">
        <v>104</v>
      </c>
      <c r="C87" s="49"/>
      <c r="D87" s="49" t="s">
        <v>15</v>
      </c>
      <c r="E87" s="49">
        <v>18</v>
      </c>
      <c r="F87" s="49"/>
      <c r="G87" s="49">
        <v>13</v>
      </c>
      <c r="H87" s="49"/>
      <c r="I87" s="88" t="s">
        <v>105</v>
      </c>
      <c r="J87" s="65"/>
      <c r="K87" s="65"/>
      <c r="L87" s="65"/>
    </row>
    <row r="88" s="6" customFormat="1" ht="22.5" customHeight="1" spans="1:12">
      <c r="A88" s="49">
        <v>10</v>
      </c>
      <c r="B88" s="72" t="s">
        <v>106</v>
      </c>
      <c r="C88" s="49"/>
      <c r="D88" s="49" t="s">
        <v>15</v>
      </c>
      <c r="E88" s="49">
        <v>25</v>
      </c>
      <c r="F88" s="49"/>
      <c r="G88" s="49">
        <v>15</v>
      </c>
      <c r="H88" s="89"/>
      <c r="I88" s="88" t="s">
        <v>107</v>
      </c>
      <c r="J88" s="65"/>
      <c r="K88" s="65"/>
      <c r="L88" s="65"/>
    </row>
    <row r="89" s="6" customFormat="1" ht="22.5" customHeight="1" spans="1:12">
      <c r="A89" s="49">
        <v>11</v>
      </c>
      <c r="B89" s="72" t="s">
        <v>108</v>
      </c>
      <c r="C89" s="49"/>
      <c r="D89" s="49" t="s">
        <v>15</v>
      </c>
      <c r="E89" s="49">
        <v>55</v>
      </c>
      <c r="F89" s="49"/>
      <c r="G89" s="49">
        <v>20</v>
      </c>
      <c r="H89" s="89"/>
      <c r="I89" s="88" t="s">
        <v>109</v>
      </c>
      <c r="J89" s="65"/>
      <c r="K89" s="65"/>
      <c r="L89" s="65"/>
    </row>
    <row r="90" ht="15.75" customHeight="1" spans="1:12">
      <c r="A90" s="40">
        <v>12</v>
      </c>
      <c r="B90" s="43" t="s">
        <v>110</v>
      </c>
      <c r="C90" s="40"/>
      <c r="D90" s="40" t="s">
        <v>46</v>
      </c>
      <c r="E90" s="40">
        <v>150</v>
      </c>
      <c r="F90" s="40"/>
      <c r="G90" s="40">
        <v>180</v>
      </c>
      <c r="H90" s="40"/>
      <c r="I90" s="41" t="s">
        <v>111</v>
      </c>
      <c r="J90" s="33"/>
      <c r="K90" s="33"/>
      <c r="L90" s="33"/>
    </row>
    <row r="91" ht="15.75" customHeight="1" spans="1:12">
      <c r="A91" s="40">
        <v>13</v>
      </c>
      <c r="B91" s="43" t="s">
        <v>112</v>
      </c>
      <c r="C91" s="40"/>
      <c r="D91" s="40" t="s">
        <v>46</v>
      </c>
      <c r="E91" s="40">
        <v>240</v>
      </c>
      <c r="F91" s="40"/>
      <c r="G91" s="40">
        <v>160</v>
      </c>
      <c r="H91" s="40"/>
      <c r="I91" s="41" t="s">
        <v>111</v>
      </c>
      <c r="J91" s="33"/>
      <c r="K91" s="33"/>
      <c r="L91" s="33"/>
    </row>
    <row r="92" ht="22.5" customHeight="1" spans="1:12">
      <c r="A92" s="40">
        <v>14</v>
      </c>
      <c r="B92" s="43" t="s">
        <v>113</v>
      </c>
      <c r="C92" s="40"/>
      <c r="D92" s="40" t="s">
        <v>46</v>
      </c>
      <c r="E92" s="40">
        <v>120</v>
      </c>
      <c r="F92" s="40"/>
      <c r="G92" s="40">
        <v>380</v>
      </c>
      <c r="H92" s="40"/>
      <c r="I92" s="41" t="s">
        <v>114</v>
      </c>
      <c r="J92" s="33"/>
      <c r="K92" s="33"/>
      <c r="L92" s="33"/>
    </row>
    <row r="93" s="11" customFormat="1" ht="16.5" customHeight="1" spans="1:12">
      <c r="A93" s="40">
        <v>15</v>
      </c>
      <c r="B93" s="73" t="s">
        <v>115</v>
      </c>
      <c r="C93" s="90"/>
      <c r="D93" s="40" t="s">
        <v>18</v>
      </c>
      <c r="E93" s="90"/>
      <c r="F93" s="40"/>
      <c r="G93" s="40">
        <v>5</v>
      </c>
      <c r="H93" s="44"/>
      <c r="I93" s="91" t="s">
        <v>116</v>
      </c>
      <c r="J93" s="33"/>
      <c r="K93" s="92"/>
      <c r="L93" s="92"/>
    </row>
    <row r="94" s="7" customFormat="1" ht="16.5" customHeight="1" spans="1:12">
      <c r="A94" s="67"/>
      <c r="B94" s="68" t="s">
        <v>52</v>
      </c>
      <c r="C94" s="67"/>
      <c r="D94" s="67"/>
      <c r="E94" s="67"/>
      <c r="F94" s="67"/>
      <c r="G94" s="67"/>
      <c r="H94" s="67"/>
      <c r="I94" s="69"/>
      <c r="J94" s="70"/>
      <c r="K94" s="70"/>
      <c r="L94" s="70"/>
    </row>
    <row r="95" ht="16.5" customHeight="1" spans="1:12">
      <c r="A95" s="40" t="s">
        <v>117</v>
      </c>
      <c r="B95" s="81" t="s">
        <v>118</v>
      </c>
      <c r="C95" s="82"/>
      <c r="D95" s="82"/>
      <c r="E95" s="83"/>
      <c r="F95" s="40"/>
      <c r="G95" s="40"/>
      <c r="H95" s="40"/>
      <c r="I95" s="41"/>
      <c r="J95" s="33"/>
      <c r="K95" s="33"/>
      <c r="L95" s="33"/>
    </row>
    <row r="96" s="6" customFormat="1" ht="24.75" customHeight="1" spans="1:12">
      <c r="A96" s="49">
        <v>1</v>
      </c>
      <c r="B96" s="72" t="s">
        <v>119</v>
      </c>
      <c r="C96" s="49"/>
      <c r="D96" s="49" t="s">
        <v>15</v>
      </c>
      <c r="E96" s="49">
        <v>36</v>
      </c>
      <c r="F96" s="49"/>
      <c r="G96" s="49">
        <v>33</v>
      </c>
      <c r="H96" s="49"/>
      <c r="I96" s="64" t="s">
        <v>120</v>
      </c>
      <c r="J96" s="65"/>
      <c r="K96" s="65"/>
      <c r="L96" s="65"/>
    </row>
    <row r="97" ht="26.5" customHeight="1" spans="1:12">
      <c r="A97" s="40">
        <v>2</v>
      </c>
      <c r="B97" s="43" t="s">
        <v>121</v>
      </c>
      <c r="C97" s="40"/>
      <c r="D97" s="40" t="s">
        <v>15</v>
      </c>
      <c r="E97" s="40">
        <v>38</v>
      </c>
      <c r="F97" s="40"/>
      <c r="G97" s="40">
        <v>40</v>
      </c>
      <c r="H97" s="40"/>
      <c r="I97" s="41" t="s">
        <v>122</v>
      </c>
      <c r="J97" s="33"/>
      <c r="K97" s="33"/>
      <c r="L97" s="33"/>
    </row>
    <row r="98" ht="24.5" customHeight="1" spans="1:12">
      <c r="A98" s="40">
        <v>3</v>
      </c>
      <c r="B98" s="43" t="s">
        <v>123</v>
      </c>
      <c r="C98" s="40"/>
      <c r="D98" s="40" t="s">
        <v>15</v>
      </c>
      <c r="E98" s="40">
        <v>48</v>
      </c>
      <c r="F98" s="40"/>
      <c r="G98" s="40">
        <v>70</v>
      </c>
      <c r="H98" s="40"/>
      <c r="I98" s="41" t="s">
        <v>122</v>
      </c>
      <c r="J98" s="33"/>
      <c r="K98" s="33"/>
      <c r="L98" s="33"/>
    </row>
    <row r="99" ht="15" customHeight="1" spans="1:12">
      <c r="A99" s="40">
        <v>4</v>
      </c>
      <c r="B99" s="43" t="s">
        <v>124</v>
      </c>
      <c r="C99" s="40"/>
      <c r="D99" s="40" t="s">
        <v>15</v>
      </c>
      <c r="E99" s="40">
        <v>20</v>
      </c>
      <c r="F99" s="40"/>
      <c r="G99" s="40">
        <v>15</v>
      </c>
      <c r="H99" s="40"/>
      <c r="I99" s="41" t="s">
        <v>125</v>
      </c>
      <c r="J99" s="33"/>
      <c r="K99" s="33"/>
      <c r="L99" s="33"/>
    </row>
    <row r="100" ht="15" customHeight="1" spans="1:12">
      <c r="A100" s="40">
        <v>5</v>
      </c>
      <c r="B100" s="43" t="s">
        <v>126</v>
      </c>
      <c r="C100" s="40"/>
      <c r="D100" s="40" t="s">
        <v>102</v>
      </c>
      <c r="E100" s="40">
        <v>135</v>
      </c>
      <c r="F100" s="40"/>
      <c r="G100" s="40">
        <v>35</v>
      </c>
      <c r="H100" s="40"/>
      <c r="I100" s="41" t="s">
        <v>127</v>
      </c>
      <c r="J100" s="33"/>
      <c r="K100" s="33"/>
      <c r="L100" s="33"/>
    </row>
    <row r="101" s="7" customFormat="1" ht="17.15" customHeight="1" spans="1:12">
      <c r="A101" s="67"/>
      <c r="B101" s="68" t="s">
        <v>52</v>
      </c>
      <c r="C101" s="67"/>
      <c r="D101" s="67"/>
      <c r="E101" s="67"/>
      <c r="F101" s="67"/>
      <c r="G101" s="67"/>
      <c r="H101" s="67"/>
      <c r="I101" s="69"/>
      <c r="J101" s="70"/>
      <c r="K101" s="70"/>
      <c r="L101" s="70"/>
    </row>
    <row r="102" ht="17.15" customHeight="1" spans="1:12">
      <c r="A102" s="93" t="s">
        <v>128</v>
      </c>
      <c r="B102" s="39" t="s">
        <v>129</v>
      </c>
      <c r="C102" s="40"/>
      <c r="D102" s="40"/>
      <c r="E102" s="40"/>
      <c r="F102" s="40"/>
      <c r="G102" s="40"/>
      <c r="H102" s="40"/>
      <c r="I102" s="41"/>
      <c r="J102" s="33"/>
      <c r="K102" s="33"/>
      <c r="L102" s="33"/>
    </row>
    <row r="103" ht="14.25" customHeight="1" spans="1:12">
      <c r="A103" s="40">
        <v>1</v>
      </c>
      <c r="B103" s="43" t="s">
        <v>130</v>
      </c>
      <c r="C103" s="40"/>
      <c r="D103" s="40" t="s">
        <v>15</v>
      </c>
      <c r="E103" s="40">
        <v>22</v>
      </c>
      <c r="F103" s="40">
        <f>C103*E103</f>
        <v>0</v>
      </c>
      <c r="G103" s="40">
        <v>25</v>
      </c>
      <c r="H103" s="40">
        <f>SUM(G103*C103)</f>
        <v>0</v>
      </c>
      <c r="I103" s="41" t="s">
        <v>131</v>
      </c>
      <c r="J103" s="33"/>
      <c r="K103" s="33"/>
      <c r="L103" s="33"/>
    </row>
    <row r="104" s="12" customFormat="1" ht="14.25" customHeight="1" spans="1:12">
      <c r="A104" s="40">
        <v>2</v>
      </c>
      <c r="B104" s="94" t="s">
        <v>132</v>
      </c>
      <c r="C104" s="40"/>
      <c r="D104" s="40" t="s">
        <v>18</v>
      </c>
      <c r="E104" s="95">
        <v>160</v>
      </c>
      <c r="F104" s="40">
        <f t="shared" ref="F104:F123" si="14">C104*E104</f>
        <v>0</v>
      </c>
      <c r="G104" s="95">
        <v>125</v>
      </c>
      <c r="H104" s="40">
        <f t="shared" ref="H104:H123" si="15">SUM(G104*C104)</f>
        <v>0</v>
      </c>
      <c r="I104" s="96" t="s">
        <v>133</v>
      </c>
      <c r="J104" s="97"/>
      <c r="K104" s="97"/>
      <c r="L104" s="97"/>
    </row>
    <row r="105" ht="14.25" customHeight="1" spans="1:12">
      <c r="A105" s="40">
        <v>3</v>
      </c>
      <c r="B105" s="43" t="s">
        <v>134</v>
      </c>
      <c r="C105" s="40"/>
      <c r="D105" s="40" t="s">
        <v>18</v>
      </c>
      <c r="E105" s="40">
        <v>95</v>
      </c>
      <c r="F105" s="40">
        <f t="shared" si="14"/>
        <v>0</v>
      </c>
      <c r="G105" s="40">
        <v>75</v>
      </c>
      <c r="H105" s="40">
        <f t="shared" si="15"/>
        <v>0</v>
      </c>
      <c r="I105" s="41" t="s">
        <v>135</v>
      </c>
      <c r="J105" s="33"/>
      <c r="K105" s="33"/>
      <c r="L105" s="33"/>
    </row>
    <row r="106" ht="14.25" customHeight="1" spans="1:12">
      <c r="A106" s="40">
        <v>4</v>
      </c>
      <c r="B106" s="43" t="s">
        <v>136</v>
      </c>
      <c r="C106" s="40"/>
      <c r="D106" s="40" t="s">
        <v>137</v>
      </c>
      <c r="E106" s="40">
        <v>120</v>
      </c>
      <c r="F106" s="40">
        <f t="shared" si="14"/>
        <v>0</v>
      </c>
      <c r="G106" s="40">
        <v>90</v>
      </c>
      <c r="H106" s="40">
        <f t="shared" si="15"/>
        <v>0</v>
      </c>
      <c r="I106" s="41" t="s">
        <v>138</v>
      </c>
      <c r="J106" s="33"/>
      <c r="K106" s="33"/>
      <c r="L106" s="33"/>
    </row>
    <row r="107" ht="14.25" customHeight="1" spans="1:12">
      <c r="A107" s="40">
        <v>5</v>
      </c>
      <c r="B107" s="43" t="s">
        <v>139</v>
      </c>
      <c r="C107" s="40"/>
      <c r="D107" s="40" t="s">
        <v>137</v>
      </c>
      <c r="E107" s="40">
        <v>150</v>
      </c>
      <c r="F107" s="40">
        <f t="shared" si="14"/>
        <v>0</v>
      </c>
      <c r="G107" s="40">
        <v>100</v>
      </c>
      <c r="H107" s="40">
        <f t="shared" si="15"/>
        <v>0</v>
      </c>
      <c r="I107" s="41" t="s">
        <v>138</v>
      </c>
      <c r="J107" s="33"/>
      <c r="K107" s="33"/>
      <c r="L107" s="33"/>
    </row>
    <row r="108" ht="14.25" customHeight="1" spans="1:12">
      <c r="A108" s="40">
        <v>6</v>
      </c>
      <c r="B108" s="43" t="s">
        <v>140</v>
      </c>
      <c r="C108" s="40"/>
      <c r="D108" s="40" t="s">
        <v>46</v>
      </c>
      <c r="E108" s="40">
        <v>120</v>
      </c>
      <c r="F108" s="40">
        <f t="shared" si="14"/>
        <v>0</v>
      </c>
      <c r="G108" s="40">
        <v>320</v>
      </c>
      <c r="H108" s="40">
        <f t="shared" si="15"/>
        <v>0</v>
      </c>
      <c r="I108" s="41" t="s">
        <v>141</v>
      </c>
      <c r="J108" s="33"/>
      <c r="K108" s="33"/>
      <c r="L108" s="33"/>
    </row>
    <row r="109" ht="14.25" customHeight="1" spans="1:12">
      <c r="A109" s="40">
        <v>7</v>
      </c>
      <c r="B109" s="43" t="s">
        <v>142</v>
      </c>
      <c r="C109" s="40"/>
      <c r="D109" s="40" t="s">
        <v>46</v>
      </c>
      <c r="E109" s="40">
        <v>10</v>
      </c>
      <c r="F109" s="40">
        <f t="shared" si="14"/>
        <v>0</v>
      </c>
      <c r="G109" s="40">
        <v>15</v>
      </c>
      <c r="H109" s="40">
        <f t="shared" si="15"/>
        <v>0</v>
      </c>
      <c r="I109" s="98" t="s">
        <v>143</v>
      </c>
      <c r="J109" s="33"/>
      <c r="K109" s="33"/>
      <c r="L109" s="33"/>
    </row>
    <row r="110" s="13" customFormat="1" ht="14.25" customHeight="1" spans="1:12">
      <c r="A110" s="40">
        <v>8</v>
      </c>
      <c r="B110" s="73" t="s">
        <v>144</v>
      </c>
      <c r="C110" s="40"/>
      <c r="D110" s="40" t="s">
        <v>46</v>
      </c>
      <c r="E110" s="90">
        <v>280</v>
      </c>
      <c r="F110" s="40">
        <f t="shared" si="14"/>
        <v>0</v>
      </c>
      <c r="G110" s="40">
        <v>380</v>
      </c>
      <c r="H110" s="40">
        <f t="shared" si="15"/>
        <v>0</v>
      </c>
      <c r="I110" s="99" t="s">
        <v>145</v>
      </c>
      <c r="J110" s="100"/>
      <c r="K110" s="100"/>
      <c r="L110" s="100"/>
    </row>
    <row r="111" s="13" customFormat="1" ht="14.25" customHeight="1" spans="1:12">
      <c r="A111" s="40">
        <v>9</v>
      </c>
      <c r="B111" s="73" t="s">
        <v>146</v>
      </c>
      <c r="C111" s="40"/>
      <c r="D111" s="40" t="s">
        <v>46</v>
      </c>
      <c r="E111" s="90">
        <v>105</v>
      </c>
      <c r="F111" s="40">
        <f t="shared" si="14"/>
        <v>0</v>
      </c>
      <c r="G111" s="40">
        <v>70</v>
      </c>
      <c r="H111" s="40">
        <f t="shared" si="15"/>
        <v>0</v>
      </c>
      <c r="I111" s="99" t="s">
        <v>147</v>
      </c>
      <c r="J111" s="100"/>
      <c r="K111" s="100"/>
      <c r="L111" s="100"/>
    </row>
    <row r="112" customFormat="1" ht="14.25" customHeight="1" spans="1:12">
      <c r="A112" s="40">
        <v>10</v>
      </c>
      <c r="B112" s="101" t="s">
        <v>148</v>
      </c>
      <c r="C112" s="40"/>
      <c r="D112" s="42" t="s">
        <v>37</v>
      </c>
      <c r="E112" s="102">
        <v>340</v>
      </c>
      <c r="F112" s="40">
        <f t="shared" si="14"/>
        <v>0</v>
      </c>
      <c r="G112" s="42">
        <v>380</v>
      </c>
      <c r="H112" s="40">
        <f t="shared" si="15"/>
        <v>0</v>
      </c>
      <c r="I112" s="103" t="s">
        <v>149</v>
      </c>
    </row>
    <row r="113" s="14" customFormat="1" ht="15" customHeight="1" spans="1:12">
      <c r="A113" s="40">
        <v>11</v>
      </c>
      <c r="B113" s="104" t="s">
        <v>150</v>
      </c>
      <c r="C113" s="49"/>
      <c r="D113" s="49" t="s">
        <v>46</v>
      </c>
      <c r="E113" s="89">
        <v>25</v>
      </c>
      <c r="F113" s="40">
        <f t="shared" si="14"/>
        <v>0</v>
      </c>
      <c r="G113" s="89">
        <v>45</v>
      </c>
      <c r="H113" s="40">
        <f t="shared" si="15"/>
        <v>0</v>
      </c>
      <c r="I113" s="63" t="s">
        <v>151</v>
      </c>
      <c r="J113" s="65"/>
      <c r="K113" s="65"/>
      <c r="L113" s="65"/>
    </row>
    <row r="114" ht="14.25" customHeight="1" spans="1:12">
      <c r="A114" s="40">
        <v>12</v>
      </c>
      <c r="B114" s="43" t="s">
        <v>152</v>
      </c>
      <c r="C114" s="40"/>
      <c r="D114" s="40" t="s">
        <v>18</v>
      </c>
      <c r="E114" s="40">
        <v>0</v>
      </c>
      <c r="F114" s="40">
        <f t="shared" si="14"/>
        <v>0</v>
      </c>
      <c r="G114" s="40">
        <v>75</v>
      </c>
      <c r="H114" s="40">
        <f t="shared" si="15"/>
        <v>0</v>
      </c>
      <c r="I114" s="41" t="s">
        <v>153</v>
      </c>
      <c r="J114" s="33"/>
      <c r="K114" s="33"/>
      <c r="L114" s="33"/>
    </row>
    <row r="115" s="12" customFormat="1" ht="15.75" customHeight="1" spans="1:12">
      <c r="A115" s="40">
        <v>13</v>
      </c>
      <c r="B115" s="105" t="s">
        <v>154</v>
      </c>
      <c r="C115" s="40"/>
      <c r="D115" s="106" t="s">
        <v>15</v>
      </c>
      <c r="E115" s="107">
        <v>25</v>
      </c>
      <c r="F115" s="40">
        <f t="shared" si="14"/>
        <v>0</v>
      </c>
      <c r="G115" s="107">
        <v>48</v>
      </c>
      <c r="H115" s="40">
        <f t="shared" si="15"/>
        <v>0</v>
      </c>
      <c r="I115" s="108" t="s">
        <v>155</v>
      </c>
    </row>
    <row r="116" s="8" customFormat="1" ht="14.15" customHeight="1" spans="1:12">
      <c r="A116" s="40">
        <v>14</v>
      </c>
      <c r="B116" s="105" t="s">
        <v>156</v>
      </c>
      <c r="C116" s="106"/>
      <c r="D116" s="106" t="s">
        <v>15</v>
      </c>
      <c r="E116" s="107">
        <v>65</v>
      </c>
      <c r="F116" s="40">
        <f t="shared" si="14"/>
        <v>0</v>
      </c>
      <c r="G116" s="107">
        <v>100</v>
      </c>
      <c r="H116" s="40">
        <f t="shared" si="15"/>
        <v>0</v>
      </c>
      <c r="I116" s="108" t="s">
        <v>157</v>
      </c>
      <c r="J116"/>
      <c r="K116"/>
      <c r="L116"/>
    </row>
    <row r="117" customFormat="1" ht="15" customHeight="1" spans="1:12">
      <c r="A117" s="40">
        <v>15</v>
      </c>
      <c r="B117" s="109" t="s">
        <v>158</v>
      </c>
      <c r="C117" s="40"/>
      <c r="D117" s="40" t="s">
        <v>46</v>
      </c>
      <c r="E117" s="44">
        <v>160</v>
      </c>
      <c r="F117" s="40">
        <f t="shared" si="14"/>
        <v>0</v>
      </c>
      <c r="G117" s="44">
        <v>125</v>
      </c>
      <c r="H117" s="40">
        <f t="shared" si="15"/>
        <v>0</v>
      </c>
      <c r="I117" s="41" t="s">
        <v>159</v>
      </c>
      <c r="J117" s="33"/>
      <c r="K117" s="33"/>
      <c r="L117" s="33"/>
    </row>
    <row r="118" customFormat="1" ht="15" customHeight="1" spans="1:12">
      <c r="A118" s="40">
        <v>16</v>
      </c>
      <c r="B118" s="43" t="s">
        <v>160</v>
      </c>
      <c r="C118" s="40"/>
      <c r="D118" s="40" t="s">
        <v>46</v>
      </c>
      <c r="E118" s="44">
        <v>45</v>
      </c>
      <c r="F118" s="40">
        <f t="shared" si="14"/>
        <v>0</v>
      </c>
      <c r="G118" s="44">
        <v>90</v>
      </c>
      <c r="H118" s="40">
        <f t="shared" si="15"/>
        <v>0</v>
      </c>
      <c r="I118" s="98" t="s">
        <v>161</v>
      </c>
      <c r="J118" s="33"/>
      <c r="K118" s="33"/>
      <c r="L118" s="33"/>
    </row>
    <row r="119" s="12" customFormat="1" ht="14.25" customHeight="1" spans="1:12">
      <c r="A119" s="40">
        <v>17</v>
      </c>
      <c r="B119" s="110" t="s">
        <v>162</v>
      </c>
      <c r="C119" s="40"/>
      <c r="D119" s="40" t="s">
        <v>18</v>
      </c>
      <c r="E119" s="111">
        <v>9.5</v>
      </c>
      <c r="F119" s="40">
        <f t="shared" si="14"/>
        <v>0</v>
      </c>
      <c r="G119" s="111">
        <v>6</v>
      </c>
      <c r="H119" s="40">
        <f t="shared" si="15"/>
        <v>0</v>
      </c>
      <c r="I119" s="112" t="s">
        <v>163</v>
      </c>
      <c r="J119" s="113"/>
      <c r="K119" s="113"/>
      <c r="L119" s="113"/>
    </row>
    <row r="120" s="12" customFormat="1" ht="14.25" customHeight="1" spans="1:12">
      <c r="A120" s="40">
        <v>18</v>
      </c>
      <c r="B120" s="43" t="s">
        <v>164</v>
      </c>
      <c r="C120" s="40"/>
      <c r="D120" s="40" t="s">
        <v>18</v>
      </c>
      <c r="E120" s="40">
        <v>80</v>
      </c>
      <c r="F120" s="40">
        <f t="shared" si="14"/>
        <v>0</v>
      </c>
      <c r="G120" s="40">
        <v>75</v>
      </c>
      <c r="H120" s="40">
        <f t="shared" si="15"/>
        <v>0</v>
      </c>
      <c r="I120" s="41" t="s">
        <v>165</v>
      </c>
      <c r="J120" s="33"/>
      <c r="K120" s="33"/>
      <c r="L120" s="33"/>
    </row>
    <row r="121" ht="15" customHeight="1" spans="1:12">
      <c r="A121" s="40">
        <v>19</v>
      </c>
      <c r="B121" s="43" t="s">
        <v>166</v>
      </c>
      <c r="C121" s="40"/>
      <c r="D121" s="40" t="s">
        <v>18</v>
      </c>
      <c r="E121" s="40">
        <v>90</v>
      </c>
      <c r="F121" s="40">
        <f t="shared" si="14"/>
        <v>0</v>
      </c>
      <c r="G121" s="40">
        <v>85</v>
      </c>
      <c r="H121" s="40">
        <f t="shared" si="15"/>
        <v>0</v>
      </c>
      <c r="I121" s="41" t="s">
        <v>165</v>
      </c>
      <c r="J121" s="33"/>
      <c r="K121" s="33"/>
      <c r="L121" s="33"/>
    </row>
    <row r="122" ht="14.25" customHeight="1" spans="1:12">
      <c r="A122" s="40">
        <v>20</v>
      </c>
      <c r="B122" s="43" t="s">
        <v>167</v>
      </c>
      <c r="C122" s="40"/>
      <c r="D122" s="40" t="s">
        <v>18</v>
      </c>
      <c r="E122" s="40">
        <v>15</v>
      </c>
      <c r="F122" s="40">
        <f t="shared" si="14"/>
        <v>0</v>
      </c>
      <c r="G122" s="40">
        <v>13</v>
      </c>
      <c r="H122" s="40">
        <f t="shared" si="15"/>
        <v>0</v>
      </c>
      <c r="I122" s="41" t="s">
        <v>168</v>
      </c>
      <c r="J122" s="33"/>
      <c r="K122" s="33"/>
      <c r="L122" s="33"/>
    </row>
    <row r="123" s="8" customFormat="1" ht="14.25" customHeight="1" spans="1:12">
      <c r="A123" s="40">
        <v>21</v>
      </c>
      <c r="B123" s="73" t="s">
        <v>169</v>
      </c>
      <c r="C123" s="40"/>
      <c r="D123" s="40" t="s">
        <v>18</v>
      </c>
      <c r="E123" s="40">
        <v>2</v>
      </c>
      <c r="F123" s="40">
        <f t="shared" si="14"/>
        <v>0</v>
      </c>
      <c r="G123" s="40">
        <v>6</v>
      </c>
      <c r="H123" s="40">
        <f t="shared" si="15"/>
        <v>0</v>
      </c>
      <c r="I123" s="41" t="s">
        <v>170</v>
      </c>
      <c r="J123" s="74"/>
      <c r="K123" s="74"/>
      <c r="L123" s="74"/>
    </row>
    <row r="124" s="7" customFormat="1" ht="17.25" customHeight="1" spans="1:12">
      <c r="A124" s="67"/>
      <c r="B124" s="68" t="s">
        <v>52</v>
      </c>
      <c r="C124" s="67"/>
      <c r="D124" s="67"/>
      <c r="E124" s="67"/>
      <c r="F124" s="67">
        <f>SUM(F103:F123)</f>
        <v>0</v>
      </c>
      <c r="G124" s="67"/>
      <c r="H124" s="67">
        <f>SUM(H103:H123)</f>
        <v>0</v>
      </c>
      <c r="I124" s="69"/>
      <c r="J124" s="70"/>
      <c r="K124" s="70"/>
      <c r="L124" s="70"/>
    </row>
    <row r="125" ht="17.25" customHeight="1" spans="1:12">
      <c r="A125" s="40"/>
      <c r="B125" s="71" t="s">
        <v>171</v>
      </c>
      <c r="C125" s="40"/>
      <c r="D125" s="40"/>
      <c r="E125" s="40"/>
      <c r="F125" s="114">
        <f>F124+F76+F70+F63+F52+F45+F34+F25</f>
        <v>0</v>
      </c>
      <c r="G125" s="114"/>
      <c r="H125" s="114">
        <f>H124+H76+H70+H63+H52+H45+H34+H25</f>
        <v>0</v>
      </c>
      <c r="I125" s="41"/>
      <c r="J125" s="33"/>
      <c r="K125" s="33"/>
      <c r="L125" s="33"/>
    </row>
    <row r="126" s="7" customFormat="1" ht="17.25" customHeight="1" spans="1:12">
      <c r="A126" s="67"/>
      <c r="B126" s="68" t="s">
        <v>172</v>
      </c>
      <c r="C126" s="67"/>
      <c r="D126" s="67"/>
      <c r="E126" s="67"/>
      <c r="F126" s="67"/>
      <c r="G126" s="67"/>
      <c r="H126" s="115">
        <f>F125+H125</f>
        <v>0</v>
      </c>
      <c r="I126" s="116"/>
      <c r="J126" s="70"/>
      <c r="K126" s="70"/>
      <c r="L126" s="70"/>
    </row>
    <row r="127" s="15" customFormat="1" ht="18" customHeight="1" spans="1:12">
      <c r="A127" s="117"/>
      <c r="B127" s="118" t="s">
        <v>173</v>
      </c>
      <c r="C127" s="119"/>
      <c r="D127" s="119"/>
      <c r="E127" s="119"/>
      <c r="F127" s="119"/>
      <c r="G127" s="119"/>
      <c r="H127" s="119"/>
      <c r="I127" s="120"/>
      <c r="J127" s="121"/>
      <c r="K127" s="121"/>
      <c r="L127" s="121"/>
    </row>
    <row r="128" ht="14.25" customHeight="1" spans="1:12">
      <c r="A128" s="40"/>
      <c r="B128" s="122" t="s">
        <v>174</v>
      </c>
      <c r="C128" s="40"/>
      <c r="D128" s="40"/>
      <c r="E128" s="40"/>
      <c r="F128" s="40"/>
      <c r="G128" s="123"/>
      <c r="H128" s="114">
        <f>H126*3.5%</f>
        <v>0</v>
      </c>
      <c r="I128" s="41" t="s">
        <v>175</v>
      </c>
      <c r="J128" s="33"/>
      <c r="K128" s="33"/>
      <c r="L128" s="33"/>
    </row>
    <row r="129" ht="24" customHeight="1" spans="1:24">
      <c r="A129" s="40"/>
      <c r="B129" s="71" t="s">
        <v>176</v>
      </c>
      <c r="C129" s="40"/>
      <c r="D129" s="40"/>
      <c r="E129" s="40"/>
      <c r="F129" s="40"/>
      <c r="G129" s="123"/>
      <c r="H129" s="114">
        <f>H126*3%</f>
        <v>0</v>
      </c>
      <c r="I129" s="41" t="s">
        <v>177</v>
      </c>
      <c r="J129" s="33"/>
      <c r="K129" s="33"/>
      <c r="L129" s="33"/>
    </row>
    <row r="130" s="5" customFormat="1" ht="15.75" customHeight="1" spans="1:24">
      <c r="A130" s="40"/>
      <c r="B130" s="71" t="s">
        <v>178</v>
      </c>
      <c r="C130" s="40"/>
      <c r="D130" s="40"/>
      <c r="E130" s="40"/>
      <c r="F130" s="124"/>
      <c r="G130" s="40"/>
      <c r="H130" s="114">
        <f>H126*8%</f>
        <v>0</v>
      </c>
      <c r="I130" s="54" t="s">
        <v>179</v>
      </c>
      <c r="J130" s="125"/>
      <c r="K130" s="125"/>
      <c r="L130" s="125"/>
      <c r="M130" s="59"/>
      <c r="N130" s="59"/>
      <c r="O130" s="59"/>
      <c r="P130" s="59"/>
      <c r="Q130" s="59"/>
      <c r="R130" s="59"/>
      <c r="S130" s="59"/>
      <c r="T130" s="59"/>
      <c r="U130" s="59"/>
      <c r="V130" s="59"/>
      <c r="W130" s="59"/>
      <c r="X130" s="60"/>
    </row>
    <row r="131" s="5" customFormat="1" ht="15.75" customHeight="1" spans="1:24">
      <c r="A131" s="40"/>
      <c r="B131" s="71" t="s">
        <v>180</v>
      </c>
      <c r="C131" s="40"/>
      <c r="D131" s="40"/>
      <c r="E131" s="40"/>
      <c r="F131" s="124"/>
      <c r="G131" s="40"/>
      <c r="H131" s="114">
        <f>H126*5%</f>
        <v>0</v>
      </c>
      <c r="I131" s="54" t="s">
        <v>181</v>
      </c>
      <c r="J131" s="125"/>
      <c r="K131" s="125"/>
      <c r="L131" s="125"/>
      <c r="M131" s="59"/>
      <c r="N131" s="59"/>
      <c r="O131" s="59"/>
      <c r="P131" s="59"/>
      <c r="Q131" s="59"/>
      <c r="R131" s="59"/>
      <c r="S131" s="59"/>
      <c r="T131" s="59"/>
      <c r="U131" s="59"/>
      <c r="V131" s="59"/>
      <c r="W131" s="59"/>
      <c r="X131" s="60"/>
    </row>
    <row r="132" s="16" customFormat="1" ht="15.75" customHeight="1" spans="1:24">
      <c r="A132" s="117"/>
      <c r="B132" s="126" t="s">
        <v>182</v>
      </c>
      <c r="C132" s="117"/>
      <c r="D132" s="117"/>
      <c r="E132" s="117"/>
      <c r="F132" s="127"/>
      <c r="G132" s="117"/>
      <c r="H132" s="128">
        <f>H131+H130+H129+H128+H126</f>
        <v>0</v>
      </c>
      <c r="I132" s="129"/>
      <c r="J132" s="130"/>
      <c r="K132" s="130"/>
      <c r="L132" s="130"/>
      <c r="M132" s="131"/>
      <c r="N132" s="131"/>
      <c r="O132" s="131"/>
      <c r="P132" s="131"/>
      <c r="Q132" s="131"/>
      <c r="R132" s="131"/>
      <c r="S132" s="131"/>
      <c r="T132" s="131"/>
      <c r="U132" s="131"/>
      <c r="V132" s="131"/>
      <c r="W132" s="131"/>
      <c r="X132" s="132"/>
    </row>
    <row r="133" s="5" customFormat="1" ht="15" customHeight="1" spans="1:24">
      <c r="A133" s="40"/>
      <c r="B133" s="133" t="s">
        <v>183</v>
      </c>
      <c r="C133" s="134"/>
      <c r="D133" s="134"/>
      <c r="E133" s="134"/>
      <c r="F133" s="134"/>
      <c r="G133" s="134"/>
      <c r="H133" s="135"/>
      <c r="I133" s="136" t="s">
        <v>184</v>
      </c>
      <c r="J133" s="125"/>
      <c r="K133" s="125"/>
      <c r="L133" s="125"/>
      <c r="M133" s="59"/>
      <c r="N133" s="59"/>
      <c r="O133" s="59"/>
      <c r="P133" s="59"/>
      <c r="Q133" s="59"/>
      <c r="R133" s="59"/>
      <c r="S133" s="59"/>
      <c r="T133" s="59"/>
      <c r="U133" s="59"/>
      <c r="V133" s="59"/>
      <c r="W133" s="59"/>
      <c r="X133" s="60"/>
    </row>
    <row r="134" s="16" customFormat="1" ht="17.15" customHeight="1" spans="1:24">
      <c r="A134" s="117" t="s">
        <v>12</v>
      </c>
      <c r="B134" s="126" t="s">
        <v>185</v>
      </c>
      <c r="C134" s="117"/>
      <c r="D134" s="117"/>
      <c r="E134" s="117"/>
      <c r="F134" s="127"/>
      <c r="G134" s="117"/>
      <c r="H134" s="127"/>
      <c r="I134" s="137"/>
      <c r="J134" s="130"/>
      <c r="K134" s="130"/>
      <c r="L134" s="130"/>
      <c r="M134" s="131"/>
      <c r="N134" s="131"/>
      <c r="O134" s="131"/>
      <c r="P134" s="131"/>
      <c r="Q134" s="131"/>
      <c r="R134" s="131"/>
      <c r="S134" s="131"/>
      <c r="T134" s="131"/>
      <c r="U134" s="131"/>
      <c r="V134" s="131"/>
      <c r="W134" s="131"/>
      <c r="X134" s="132"/>
    </row>
    <row r="135" s="5" customFormat="1" ht="15" customHeight="1" spans="1:24">
      <c r="A135" s="40">
        <v>1</v>
      </c>
      <c r="B135" s="43" t="s">
        <v>186</v>
      </c>
      <c r="C135" s="40"/>
      <c r="D135" s="40" t="s">
        <v>187</v>
      </c>
      <c r="E135" s="44">
        <v>95</v>
      </c>
      <c r="F135" s="40"/>
      <c r="G135" s="44">
        <v>45</v>
      </c>
      <c r="H135" s="44"/>
      <c r="I135" s="54" t="s">
        <v>188</v>
      </c>
      <c r="J135" s="125"/>
      <c r="K135" s="125"/>
      <c r="L135" s="125"/>
      <c r="M135" s="59"/>
      <c r="N135" s="59"/>
      <c r="O135" s="59"/>
      <c r="P135" s="59"/>
      <c r="Q135" s="59"/>
      <c r="R135" s="59"/>
      <c r="S135" s="59"/>
      <c r="T135" s="59"/>
      <c r="U135" s="59"/>
      <c r="V135" s="59"/>
      <c r="W135" s="59"/>
      <c r="X135" s="60"/>
    </row>
    <row r="136" ht="15" customHeight="1" spans="1:24">
      <c r="A136" s="40">
        <v>2</v>
      </c>
      <c r="B136" s="43" t="s">
        <v>189</v>
      </c>
      <c r="C136" s="40"/>
      <c r="D136" s="40" t="s">
        <v>46</v>
      </c>
      <c r="E136" s="44">
        <v>2</v>
      </c>
      <c r="F136" s="40"/>
      <c r="G136" s="44">
        <v>6</v>
      </c>
      <c r="H136" s="40"/>
      <c r="I136" s="41" t="s">
        <v>190</v>
      </c>
      <c r="J136" s="33"/>
      <c r="K136" s="33"/>
      <c r="L136" s="33"/>
    </row>
    <row r="137" ht="15" customHeight="1" spans="1:24">
      <c r="A137" s="40">
        <v>3</v>
      </c>
      <c r="B137" s="43" t="s">
        <v>191</v>
      </c>
      <c r="C137" s="40"/>
      <c r="D137" s="40" t="s">
        <v>46</v>
      </c>
      <c r="E137" s="44">
        <v>20</v>
      </c>
      <c r="F137" s="40"/>
      <c r="G137" s="44">
        <v>45</v>
      </c>
      <c r="H137" s="40"/>
      <c r="I137" s="98" t="s">
        <v>192</v>
      </c>
      <c r="J137" s="33"/>
      <c r="K137" s="33"/>
      <c r="L137" s="33"/>
    </row>
    <row r="138" ht="15" customHeight="1" spans="1:24">
      <c r="A138" s="40">
        <v>4</v>
      </c>
      <c r="B138" s="43" t="s">
        <v>193</v>
      </c>
      <c r="C138" s="40"/>
      <c r="D138" s="40" t="s">
        <v>46</v>
      </c>
      <c r="E138" s="44">
        <v>20</v>
      </c>
      <c r="F138" s="40"/>
      <c r="G138" s="44">
        <v>60</v>
      </c>
      <c r="H138" s="40"/>
      <c r="I138" s="98" t="s">
        <v>194</v>
      </c>
      <c r="J138" s="33"/>
      <c r="K138" s="33"/>
      <c r="L138" s="33"/>
    </row>
    <row r="139" ht="15" customHeight="1" spans="1:24">
      <c r="A139" s="40">
        <v>5</v>
      </c>
      <c r="B139" s="43" t="s">
        <v>195</v>
      </c>
      <c r="C139" s="40"/>
      <c r="D139" s="40" t="s">
        <v>46</v>
      </c>
      <c r="E139" s="44">
        <v>20</v>
      </c>
      <c r="F139" s="40"/>
      <c r="G139" s="44">
        <v>85</v>
      </c>
      <c r="H139" s="40"/>
      <c r="I139" s="98" t="s">
        <v>196</v>
      </c>
      <c r="J139" s="33"/>
      <c r="K139" s="33"/>
      <c r="L139" s="33"/>
    </row>
    <row r="140" ht="15" customHeight="1" spans="1:24">
      <c r="A140" s="40">
        <v>6</v>
      </c>
      <c r="B140" s="43" t="s">
        <v>160</v>
      </c>
      <c r="C140" s="40"/>
      <c r="D140" s="40" t="s">
        <v>46</v>
      </c>
      <c r="E140" s="44">
        <v>45</v>
      </c>
      <c r="F140" s="40"/>
      <c r="G140" s="44">
        <v>90</v>
      </c>
      <c r="H140" s="40"/>
      <c r="I140" s="98" t="s">
        <v>161</v>
      </c>
      <c r="J140" s="33"/>
      <c r="K140" s="33"/>
      <c r="L140" s="33"/>
    </row>
    <row r="141" ht="15" customHeight="1" spans="1:24">
      <c r="A141" s="40">
        <v>7</v>
      </c>
      <c r="B141" s="43" t="s">
        <v>197</v>
      </c>
      <c r="C141" s="40"/>
      <c r="D141" s="40" t="s">
        <v>46</v>
      </c>
      <c r="E141" s="44">
        <v>180</v>
      </c>
      <c r="F141" s="40"/>
      <c r="G141" s="44">
        <v>120</v>
      </c>
      <c r="H141" s="44"/>
      <c r="I141" s="45" t="s">
        <v>198</v>
      </c>
      <c r="J141" s="33"/>
      <c r="K141" s="33"/>
      <c r="L141" s="33"/>
    </row>
    <row r="142" ht="15" customHeight="1" spans="1:24">
      <c r="A142" s="40">
        <v>8</v>
      </c>
      <c r="B142" s="43" t="s">
        <v>14</v>
      </c>
      <c r="C142" s="40"/>
      <c r="D142" s="40" t="s">
        <v>15</v>
      </c>
      <c r="E142" s="44">
        <v>70</v>
      </c>
      <c r="F142" s="40"/>
      <c r="G142" s="44">
        <v>25</v>
      </c>
      <c r="H142" s="44"/>
      <c r="I142" s="45" t="s">
        <v>16</v>
      </c>
      <c r="J142" s="33"/>
      <c r="K142" s="33"/>
      <c r="L142" s="33"/>
    </row>
    <row r="143" s="13" customFormat="1" ht="15" customHeight="1" spans="1:24">
      <c r="A143" s="40">
        <v>9</v>
      </c>
      <c r="B143" s="73" t="s">
        <v>199</v>
      </c>
      <c r="C143" s="40"/>
      <c r="D143" s="40" t="s">
        <v>46</v>
      </c>
      <c r="E143" s="90">
        <v>0</v>
      </c>
      <c r="F143" s="40"/>
      <c r="G143" s="40">
        <v>50</v>
      </c>
      <c r="H143" s="40"/>
      <c r="I143" s="99" t="s">
        <v>200</v>
      </c>
      <c r="J143" s="100"/>
      <c r="K143" s="100"/>
      <c r="L143" s="100"/>
    </row>
    <row r="144" s="13" customFormat="1" ht="15" customHeight="1" spans="1:24">
      <c r="A144" s="40">
        <v>10</v>
      </c>
      <c r="B144" s="73" t="s">
        <v>201</v>
      </c>
      <c r="C144" s="40"/>
      <c r="D144" s="40" t="s">
        <v>46</v>
      </c>
      <c r="E144" s="90">
        <v>50</v>
      </c>
      <c r="F144" s="40"/>
      <c r="G144" s="40">
        <v>100</v>
      </c>
      <c r="H144" s="40"/>
      <c r="I144" s="99" t="s">
        <v>202</v>
      </c>
      <c r="J144" s="100"/>
      <c r="K144" s="100"/>
      <c r="L144" s="100"/>
    </row>
    <row r="145" ht="15" customHeight="1" spans="1:171">
      <c r="A145" s="40">
        <v>11</v>
      </c>
      <c r="B145" s="109" t="s">
        <v>203</v>
      </c>
      <c r="C145" s="40"/>
      <c r="D145" s="40" t="s">
        <v>46</v>
      </c>
      <c r="E145" s="44">
        <v>120</v>
      </c>
      <c r="F145" s="40"/>
      <c r="G145" s="44">
        <v>160</v>
      </c>
      <c r="H145" s="44"/>
      <c r="I145" s="45" t="s">
        <v>198</v>
      </c>
      <c r="J145" s="33"/>
      <c r="K145" s="33"/>
      <c r="L145" s="33"/>
    </row>
    <row r="146" s="14" customFormat="1" ht="15" customHeight="1" spans="1:171">
      <c r="A146" s="40">
        <v>12</v>
      </c>
      <c r="B146" s="104" t="s">
        <v>150</v>
      </c>
      <c r="C146" s="49"/>
      <c r="D146" s="49" t="s">
        <v>46</v>
      </c>
      <c r="E146" s="89">
        <v>25</v>
      </c>
      <c r="F146" s="49"/>
      <c r="G146" s="89">
        <v>45</v>
      </c>
      <c r="H146" s="89"/>
      <c r="I146" s="63" t="s">
        <v>151</v>
      </c>
      <c r="J146" s="65"/>
      <c r="K146" s="65"/>
      <c r="L146" s="65"/>
    </row>
    <row r="147" s="10" customFormat="1" ht="14.15" customHeight="1" spans="1:171">
      <c r="A147" s="40">
        <v>13</v>
      </c>
      <c r="B147" s="63" t="s">
        <v>204</v>
      </c>
      <c r="C147" s="49"/>
      <c r="D147" s="49" t="s">
        <v>21</v>
      </c>
      <c r="E147" s="89">
        <v>23</v>
      </c>
      <c r="F147" s="49"/>
      <c r="G147" s="89">
        <v>16</v>
      </c>
      <c r="H147" s="49"/>
      <c r="I147" s="64" t="s">
        <v>205</v>
      </c>
      <c r="J147" s="84"/>
      <c r="K147" s="84"/>
      <c r="L147" s="84"/>
    </row>
    <row r="148" s="8" customFormat="1" ht="14.15" customHeight="1" spans="1:171">
      <c r="A148" s="40">
        <v>14</v>
      </c>
      <c r="B148" s="45" t="s">
        <v>206</v>
      </c>
      <c r="C148" s="40"/>
      <c r="D148" s="40" t="s">
        <v>46</v>
      </c>
      <c r="E148" s="44">
        <v>120</v>
      </c>
      <c r="F148" s="40"/>
      <c r="G148" s="44">
        <v>180</v>
      </c>
      <c r="H148" s="40"/>
      <c r="I148" s="41" t="s">
        <v>207</v>
      </c>
      <c r="J148" s="74"/>
      <c r="K148" s="74"/>
      <c r="L148" s="74"/>
    </row>
    <row r="149" s="8" customFormat="1" ht="14.15" customHeight="1" spans="1:171">
      <c r="A149" s="40">
        <v>15</v>
      </c>
      <c r="B149" s="105" t="s">
        <v>156</v>
      </c>
      <c r="C149" s="106"/>
      <c r="D149" s="106" t="s">
        <v>15</v>
      </c>
      <c r="E149" s="107">
        <v>65</v>
      </c>
      <c r="F149" s="40"/>
      <c r="G149" s="107">
        <v>100</v>
      </c>
      <c r="H149" s="40"/>
      <c r="I149" s="108" t="s">
        <v>157</v>
      </c>
      <c r="J149"/>
      <c r="K149"/>
      <c r="L149"/>
    </row>
    <row r="150" s="17" customFormat="1" ht="15" customHeight="1" spans="1:171">
      <c r="A150" s="40">
        <v>16</v>
      </c>
      <c r="B150" s="138" t="s">
        <v>208</v>
      </c>
      <c r="C150" s="40"/>
      <c r="D150" s="40" t="s">
        <v>18</v>
      </c>
      <c r="E150" s="139"/>
      <c r="F150" s="40"/>
      <c r="G150" s="139">
        <v>5</v>
      </c>
      <c r="H150" s="40"/>
      <c r="I150" s="140" t="s">
        <v>209</v>
      </c>
    </row>
    <row r="151" ht="15" customHeight="1" spans="1:171">
      <c r="A151" s="40">
        <v>17</v>
      </c>
      <c r="B151" s="43" t="s">
        <v>210</v>
      </c>
      <c r="C151" s="40"/>
      <c r="D151" s="40" t="s">
        <v>46</v>
      </c>
      <c r="E151" s="44">
        <v>180</v>
      </c>
      <c r="F151" s="40"/>
      <c r="G151" s="44">
        <v>320</v>
      </c>
      <c r="H151" s="40"/>
      <c r="I151" s="41" t="s">
        <v>211</v>
      </c>
      <c r="J151" s="33"/>
      <c r="K151" s="33"/>
      <c r="L151" s="33"/>
    </row>
    <row r="152" customFormat="1" ht="15" customHeight="1" spans="1:171">
      <c r="A152" s="40">
        <v>18</v>
      </c>
      <c r="B152" s="43" t="s">
        <v>212</v>
      </c>
      <c r="C152" s="40"/>
      <c r="D152" s="40" t="s">
        <v>46</v>
      </c>
      <c r="E152" s="44">
        <v>200</v>
      </c>
      <c r="F152" s="40"/>
      <c r="G152" s="44">
        <v>150</v>
      </c>
      <c r="H152" s="40"/>
      <c r="I152" s="41" t="s">
        <v>213</v>
      </c>
      <c r="J152" s="33"/>
      <c r="K152" s="33"/>
      <c r="L152" s="33"/>
    </row>
    <row r="153" customFormat="1" ht="15" customHeight="1" spans="1:171">
      <c r="A153" s="40">
        <v>19</v>
      </c>
      <c r="B153" s="43" t="s">
        <v>214</v>
      </c>
      <c r="C153" s="40"/>
      <c r="D153" s="40" t="s">
        <v>46</v>
      </c>
      <c r="E153" s="44">
        <v>130</v>
      </c>
      <c r="F153" s="40"/>
      <c r="G153" s="44">
        <v>70</v>
      </c>
      <c r="H153" s="40"/>
      <c r="I153" s="41" t="s">
        <v>215</v>
      </c>
      <c r="J153" s="33"/>
      <c r="K153" s="33"/>
      <c r="L153" s="33"/>
    </row>
    <row r="154" s="12" customFormat="1" ht="15.75" customHeight="1" spans="1:171">
      <c r="A154" s="40">
        <v>20</v>
      </c>
      <c r="B154" s="141" t="s">
        <v>216</v>
      </c>
      <c r="C154" s="40"/>
      <c r="D154" s="106" t="s">
        <v>217</v>
      </c>
      <c r="E154" s="107">
        <v>4</v>
      </c>
      <c r="F154" s="106"/>
      <c r="G154" s="107">
        <v>2.5</v>
      </c>
      <c r="H154" s="40"/>
      <c r="I154" s="108" t="s">
        <v>218</v>
      </c>
    </row>
    <row r="155" s="12" customFormat="1" ht="15.75" customHeight="1" spans="1:171">
      <c r="A155" s="40">
        <v>21</v>
      </c>
      <c r="B155" s="105" t="s">
        <v>154</v>
      </c>
      <c r="C155" s="40"/>
      <c r="D155" s="106" t="s">
        <v>15</v>
      </c>
      <c r="E155" s="107">
        <v>25</v>
      </c>
      <c r="F155" s="40"/>
      <c r="G155" s="107">
        <v>48</v>
      </c>
      <c r="H155" s="40"/>
      <c r="I155" s="108" t="s">
        <v>155</v>
      </c>
    </row>
    <row r="156" ht="15" customHeight="1" spans="1:171">
      <c r="A156" s="40">
        <v>22</v>
      </c>
      <c r="B156" s="109" t="s">
        <v>158</v>
      </c>
      <c r="C156" s="40"/>
      <c r="D156" s="40" t="s">
        <v>46</v>
      </c>
      <c r="E156" s="44">
        <v>160</v>
      </c>
      <c r="F156" s="40"/>
      <c r="G156" s="44">
        <v>125</v>
      </c>
      <c r="H156" s="40"/>
      <c r="I156" s="41" t="s">
        <v>159</v>
      </c>
      <c r="J156" s="33"/>
      <c r="K156" s="33"/>
      <c r="L156" s="33"/>
    </row>
    <row r="157" s="8" customFormat="1" ht="14.15" customHeight="1" spans="1:171">
      <c r="A157" s="40">
        <v>23</v>
      </c>
      <c r="B157" s="105" t="s">
        <v>219</v>
      </c>
      <c r="C157" s="106"/>
      <c r="D157" s="106" t="s">
        <v>15</v>
      </c>
      <c r="E157" s="107"/>
      <c r="F157" s="40">
        <f>C157*E157</f>
        <v>0</v>
      </c>
      <c r="G157" s="107">
        <v>85</v>
      </c>
      <c r="H157" s="40">
        <f>SUM(G157*C157)</f>
        <v>0</v>
      </c>
      <c r="I157" s="41" t="s">
        <v>220</v>
      </c>
      <c r="J157"/>
    </row>
    <row r="158" s="5" customFormat="1" ht="17.15" customHeight="1" spans="1:171">
      <c r="A158" s="40" t="s">
        <v>53</v>
      </c>
      <c r="B158" s="71" t="s">
        <v>221</v>
      </c>
      <c r="C158" s="142"/>
      <c r="D158" s="142"/>
      <c r="E158" s="142"/>
      <c r="F158" s="142"/>
      <c r="G158" s="142"/>
      <c r="H158" s="142"/>
      <c r="I158" s="143"/>
      <c r="J158" s="125"/>
      <c r="K158" s="125"/>
      <c r="L158" s="125"/>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9"/>
      <c r="CW158" s="59"/>
      <c r="CX158" s="59"/>
      <c r="CY158" s="59"/>
      <c r="CZ158" s="59"/>
      <c r="DA158" s="59"/>
      <c r="DB158" s="59"/>
      <c r="DC158" s="59"/>
      <c r="DD158" s="59"/>
      <c r="DE158" s="59"/>
      <c r="DF158" s="59"/>
      <c r="DG158" s="59"/>
      <c r="DH158" s="59"/>
      <c r="DI158" s="59"/>
      <c r="DJ158" s="59"/>
      <c r="DK158" s="59"/>
      <c r="DL158" s="59"/>
      <c r="DM158" s="59"/>
      <c r="DN158" s="59"/>
      <c r="DO158" s="59"/>
      <c r="DP158" s="59"/>
      <c r="DQ158" s="59"/>
      <c r="DR158" s="59"/>
      <c r="DS158" s="59"/>
      <c r="DT158" s="59"/>
      <c r="DU158" s="59"/>
      <c r="DV158" s="59"/>
      <c r="DW158" s="59"/>
      <c r="DX158" s="59"/>
      <c r="DY158" s="59"/>
      <c r="DZ158" s="59"/>
      <c r="EA158" s="59"/>
      <c r="EB158" s="59"/>
      <c r="EC158" s="59"/>
      <c r="ED158" s="59"/>
      <c r="EE158" s="59"/>
      <c r="EF158" s="59"/>
      <c r="EG158" s="59"/>
      <c r="EH158" s="59"/>
      <c r="EI158" s="59"/>
      <c r="EJ158" s="59"/>
      <c r="EK158" s="59"/>
      <c r="EL158" s="59"/>
      <c r="EM158" s="59"/>
      <c r="EN158" s="59"/>
      <c r="EO158" s="59"/>
      <c r="EP158" s="59"/>
      <c r="EQ158" s="59"/>
      <c r="ER158" s="59"/>
      <c r="ES158" s="59"/>
      <c r="ET158" s="59"/>
      <c r="EU158" s="59"/>
      <c r="EV158" s="59"/>
      <c r="EW158" s="59"/>
      <c r="EX158" s="59"/>
      <c r="EY158" s="59"/>
      <c r="EZ158" s="59"/>
      <c r="FA158" s="59"/>
      <c r="FB158" s="59"/>
      <c r="FC158" s="59"/>
      <c r="FD158" s="59"/>
      <c r="FE158" s="59"/>
      <c r="FF158" s="59"/>
      <c r="FG158" s="59"/>
      <c r="FH158" s="59"/>
      <c r="FI158" s="59"/>
      <c r="FJ158" s="59"/>
      <c r="FK158" s="59"/>
      <c r="FL158" s="59"/>
      <c r="FM158" s="59"/>
      <c r="FN158" s="59"/>
      <c r="FO158" s="60"/>
    </row>
    <row r="159" s="5" customFormat="1" ht="27" customHeight="1" spans="1:171">
      <c r="A159" s="40">
        <v>1</v>
      </c>
      <c r="B159" s="144" t="s">
        <v>222</v>
      </c>
      <c r="C159" s="144"/>
      <c r="D159" s="144"/>
      <c r="E159" s="144"/>
      <c r="F159" s="144"/>
      <c r="G159" s="144"/>
      <c r="H159" s="144"/>
      <c r="I159" s="145"/>
      <c r="J159" s="125"/>
      <c r="K159" s="125"/>
      <c r="L159" s="125"/>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9"/>
      <c r="CW159" s="59"/>
      <c r="CX159" s="59"/>
      <c r="CY159" s="59"/>
      <c r="CZ159" s="59"/>
      <c r="DA159" s="59"/>
      <c r="DB159" s="59"/>
      <c r="DC159" s="59"/>
      <c r="DD159" s="59"/>
      <c r="DE159" s="59"/>
      <c r="DF159" s="59"/>
      <c r="DG159" s="59"/>
      <c r="DH159" s="59"/>
      <c r="DI159" s="59"/>
      <c r="DJ159" s="59"/>
      <c r="DK159" s="59"/>
      <c r="DL159" s="59"/>
      <c r="DM159" s="59"/>
      <c r="DN159" s="59"/>
      <c r="DO159" s="59"/>
      <c r="DP159" s="59"/>
      <c r="DQ159" s="59"/>
      <c r="DR159" s="59"/>
      <c r="DS159" s="59"/>
      <c r="DT159" s="59"/>
      <c r="DU159" s="59"/>
      <c r="DV159" s="59"/>
      <c r="DW159" s="59"/>
      <c r="DX159" s="59"/>
      <c r="DY159" s="59"/>
      <c r="DZ159" s="59"/>
      <c r="EA159" s="59"/>
      <c r="EB159" s="59"/>
      <c r="EC159" s="59"/>
      <c r="ED159" s="59"/>
      <c r="EE159" s="59"/>
      <c r="EF159" s="59"/>
      <c r="EG159" s="59"/>
      <c r="EH159" s="59"/>
      <c r="EI159" s="59"/>
      <c r="EJ159" s="59"/>
      <c r="EK159" s="59"/>
      <c r="EL159" s="59"/>
      <c r="EM159" s="59"/>
      <c r="EN159" s="59"/>
      <c r="EO159" s="59"/>
      <c r="EP159" s="59"/>
      <c r="EQ159" s="59"/>
      <c r="ER159" s="59"/>
      <c r="ES159" s="59"/>
      <c r="ET159" s="59"/>
      <c r="EU159" s="59"/>
      <c r="EV159" s="59"/>
      <c r="EW159" s="59"/>
      <c r="EX159" s="59"/>
      <c r="EY159" s="59"/>
      <c r="EZ159" s="59"/>
      <c r="FA159" s="59"/>
      <c r="FB159" s="59"/>
      <c r="FC159" s="59"/>
      <c r="FD159" s="59"/>
      <c r="FE159" s="59"/>
      <c r="FF159" s="59"/>
      <c r="FG159" s="59"/>
      <c r="FH159" s="59"/>
      <c r="FI159" s="59"/>
      <c r="FJ159" s="59"/>
      <c r="FK159" s="59"/>
      <c r="FL159" s="59"/>
      <c r="FM159" s="59"/>
      <c r="FN159" s="59"/>
      <c r="FO159" s="60"/>
    </row>
    <row r="160" s="5" customFormat="1" ht="29" customHeight="1" spans="1:171">
      <c r="A160" s="40">
        <v>2</v>
      </c>
      <c r="B160" s="43" t="s">
        <v>223</v>
      </c>
      <c r="C160" s="43"/>
      <c r="D160" s="43"/>
      <c r="E160" s="43"/>
      <c r="F160" s="43"/>
      <c r="G160" s="43"/>
      <c r="H160" s="43"/>
      <c r="I160" s="133"/>
      <c r="J160" s="125"/>
      <c r="K160" s="125"/>
      <c r="L160" s="125"/>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59"/>
      <c r="EN160" s="59"/>
      <c r="EO160" s="59"/>
      <c r="EP160" s="59"/>
      <c r="EQ160" s="59"/>
      <c r="ER160" s="59"/>
      <c r="ES160" s="59"/>
      <c r="ET160" s="59"/>
      <c r="EU160" s="59"/>
      <c r="EV160" s="59"/>
      <c r="EW160" s="59"/>
      <c r="EX160" s="59"/>
      <c r="EY160" s="59"/>
      <c r="EZ160" s="59"/>
      <c r="FA160" s="59"/>
      <c r="FB160" s="59"/>
      <c r="FC160" s="59"/>
      <c r="FD160" s="59"/>
      <c r="FE160" s="59"/>
      <c r="FF160" s="59"/>
      <c r="FG160" s="59"/>
      <c r="FH160" s="59"/>
      <c r="FI160" s="59"/>
      <c r="FJ160" s="59"/>
      <c r="FK160" s="59"/>
      <c r="FL160" s="59"/>
      <c r="FM160" s="59"/>
      <c r="FN160" s="59"/>
      <c r="FO160" s="60"/>
    </row>
    <row r="161" s="5" customFormat="1" ht="29.25" customHeight="1" spans="1:171">
      <c r="A161" s="40">
        <v>3</v>
      </c>
      <c r="B161" s="144" t="s">
        <v>224</v>
      </c>
      <c r="C161" s="144"/>
      <c r="D161" s="144"/>
      <c r="E161" s="144"/>
      <c r="F161" s="144"/>
      <c r="G161" s="144"/>
      <c r="H161" s="144"/>
      <c r="I161" s="145"/>
      <c r="J161" s="125"/>
      <c r="K161" s="125"/>
      <c r="L161" s="125"/>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59"/>
      <c r="EN161" s="59"/>
      <c r="EO161" s="59"/>
      <c r="EP161" s="59"/>
      <c r="EQ161" s="59"/>
      <c r="ER161" s="59"/>
      <c r="ES161" s="59"/>
      <c r="ET161" s="59"/>
      <c r="EU161" s="59"/>
      <c r="EV161" s="59"/>
      <c r="EW161" s="59"/>
      <c r="EX161" s="59"/>
      <c r="EY161" s="59"/>
      <c r="EZ161" s="59"/>
      <c r="FA161" s="59"/>
      <c r="FB161" s="59"/>
      <c r="FC161" s="59"/>
      <c r="FD161" s="59"/>
      <c r="FE161" s="59"/>
      <c r="FF161" s="59"/>
      <c r="FG161" s="59"/>
      <c r="FH161" s="59"/>
      <c r="FI161" s="59"/>
      <c r="FJ161" s="59"/>
      <c r="FK161" s="59"/>
      <c r="FL161" s="59"/>
      <c r="FM161" s="59"/>
      <c r="FN161" s="59"/>
      <c r="FO161" s="60"/>
    </row>
    <row r="162" s="5" customFormat="1" ht="27.75" customHeight="1" spans="1:171">
      <c r="A162" s="40">
        <v>4</v>
      </c>
      <c r="B162" s="144" t="s">
        <v>225</v>
      </c>
      <c r="C162" s="144"/>
      <c r="D162" s="144"/>
      <c r="E162" s="144"/>
      <c r="F162" s="144"/>
      <c r="G162" s="144"/>
      <c r="H162" s="144"/>
      <c r="I162" s="145"/>
      <c r="J162" s="125"/>
      <c r="K162" s="125"/>
      <c r="L162" s="125"/>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c r="CQ162" s="59"/>
      <c r="CR162" s="59"/>
      <c r="CS162" s="59"/>
      <c r="CT162" s="59"/>
      <c r="CU162" s="59"/>
      <c r="CV162" s="59"/>
      <c r="CW162" s="59"/>
      <c r="CX162" s="59"/>
      <c r="CY162" s="59"/>
      <c r="CZ162" s="59"/>
      <c r="DA162" s="59"/>
      <c r="DB162" s="59"/>
      <c r="DC162" s="59"/>
      <c r="DD162" s="59"/>
      <c r="DE162" s="59"/>
      <c r="DF162" s="59"/>
      <c r="DG162" s="59"/>
      <c r="DH162" s="59"/>
      <c r="DI162" s="59"/>
      <c r="DJ162" s="59"/>
      <c r="DK162" s="59"/>
      <c r="DL162" s="59"/>
      <c r="DM162" s="59"/>
      <c r="DN162" s="59"/>
      <c r="DO162" s="59"/>
      <c r="DP162" s="59"/>
      <c r="DQ162" s="59"/>
      <c r="DR162" s="59"/>
      <c r="DS162" s="59"/>
      <c r="DT162" s="59"/>
      <c r="DU162" s="59"/>
      <c r="DV162" s="59"/>
      <c r="DW162" s="59"/>
      <c r="DX162" s="59"/>
      <c r="DY162" s="59"/>
      <c r="DZ162" s="59"/>
      <c r="EA162" s="59"/>
      <c r="EB162" s="59"/>
      <c r="EC162" s="59"/>
      <c r="ED162" s="59"/>
      <c r="EE162" s="59"/>
      <c r="EF162" s="59"/>
      <c r="EG162" s="59"/>
      <c r="EH162" s="59"/>
      <c r="EI162" s="59"/>
      <c r="EJ162" s="59"/>
      <c r="EK162" s="59"/>
      <c r="EL162" s="59"/>
      <c r="EM162" s="59"/>
      <c r="EN162" s="59"/>
      <c r="EO162" s="59"/>
      <c r="EP162" s="59"/>
      <c r="EQ162" s="59"/>
      <c r="ER162" s="59"/>
      <c r="ES162" s="59"/>
      <c r="ET162" s="59"/>
      <c r="EU162" s="59"/>
      <c r="EV162" s="59"/>
      <c r="EW162" s="59"/>
      <c r="EX162" s="59"/>
      <c r="EY162" s="59"/>
      <c r="EZ162" s="59"/>
      <c r="FA162" s="59"/>
      <c r="FB162" s="59"/>
      <c r="FC162" s="59"/>
      <c r="FD162" s="59"/>
      <c r="FE162" s="59"/>
      <c r="FF162" s="59"/>
      <c r="FG162" s="59"/>
      <c r="FH162" s="59"/>
      <c r="FI162" s="59"/>
      <c r="FJ162" s="59"/>
      <c r="FK162" s="59"/>
      <c r="FL162" s="59"/>
      <c r="FM162" s="59"/>
      <c r="FN162" s="59"/>
      <c r="FO162" s="60"/>
    </row>
    <row r="163" s="5" customFormat="1" ht="57" customHeight="1" spans="1:171">
      <c r="A163" s="40">
        <v>5</v>
      </c>
      <c r="B163" s="144" t="s">
        <v>226</v>
      </c>
      <c r="C163" s="144"/>
      <c r="D163" s="144"/>
      <c r="E163" s="144"/>
      <c r="F163" s="144"/>
      <c r="G163" s="144"/>
      <c r="H163" s="144"/>
      <c r="I163" s="145"/>
      <c r="J163" s="125"/>
      <c r="K163" s="125"/>
      <c r="L163" s="125"/>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c r="EK163" s="59"/>
      <c r="EL163" s="59"/>
      <c r="EM163" s="59"/>
      <c r="EN163" s="59"/>
      <c r="EO163" s="59"/>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L163" s="59"/>
      <c r="FM163" s="59"/>
      <c r="FN163" s="59"/>
      <c r="FO163" s="60"/>
    </row>
    <row r="164" s="5" customFormat="1" ht="31.5" customHeight="1" spans="1:171">
      <c r="A164" s="40">
        <v>6</v>
      </c>
      <c r="B164" s="43" t="s">
        <v>227</v>
      </c>
      <c r="C164" s="43"/>
      <c r="D164" s="43"/>
      <c r="E164" s="43"/>
      <c r="F164" s="43"/>
      <c r="G164" s="43"/>
      <c r="H164" s="43"/>
      <c r="I164" s="133"/>
      <c r="J164" s="125"/>
      <c r="K164" s="125"/>
      <c r="L164" s="125"/>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c r="CO164" s="59"/>
      <c r="CP164" s="59"/>
      <c r="CQ164" s="59"/>
      <c r="CR164" s="59"/>
      <c r="CS164" s="59"/>
      <c r="CT164" s="59"/>
      <c r="CU164" s="59"/>
      <c r="CV164" s="59"/>
      <c r="CW164" s="59"/>
      <c r="CX164" s="59"/>
      <c r="CY164" s="59"/>
      <c r="CZ164" s="59"/>
      <c r="DA164" s="59"/>
      <c r="DB164" s="59"/>
      <c r="DC164" s="59"/>
      <c r="DD164" s="59"/>
      <c r="DE164" s="59"/>
      <c r="DF164" s="59"/>
      <c r="DG164" s="59"/>
      <c r="DH164" s="59"/>
      <c r="DI164" s="59"/>
      <c r="DJ164" s="59"/>
      <c r="DK164" s="59"/>
      <c r="DL164" s="59"/>
      <c r="DM164" s="59"/>
      <c r="DN164" s="59"/>
      <c r="DO164" s="59"/>
      <c r="DP164" s="59"/>
      <c r="DQ164" s="59"/>
      <c r="DR164" s="59"/>
      <c r="DS164" s="59"/>
      <c r="DT164" s="59"/>
      <c r="DU164" s="59"/>
      <c r="DV164" s="59"/>
      <c r="DW164" s="59"/>
      <c r="DX164" s="59"/>
      <c r="DY164" s="59"/>
      <c r="DZ164" s="59"/>
      <c r="EA164" s="59"/>
      <c r="EB164" s="59"/>
      <c r="EC164" s="59"/>
      <c r="ED164" s="59"/>
      <c r="EE164" s="59"/>
      <c r="EF164" s="59"/>
      <c r="EG164" s="59"/>
      <c r="EH164" s="59"/>
      <c r="EI164" s="59"/>
      <c r="EJ164" s="59"/>
      <c r="EK164" s="59"/>
      <c r="EL164" s="59"/>
      <c r="EM164" s="59"/>
      <c r="EN164" s="59"/>
      <c r="EO164" s="59"/>
      <c r="EP164" s="59"/>
      <c r="EQ164" s="59"/>
      <c r="ER164" s="59"/>
      <c r="ES164" s="59"/>
      <c r="ET164" s="59"/>
      <c r="EU164" s="59"/>
      <c r="EV164" s="59"/>
      <c r="EW164" s="59"/>
      <c r="EX164" s="59"/>
      <c r="EY164" s="59"/>
      <c r="EZ164" s="59"/>
      <c r="FA164" s="59"/>
      <c r="FB164" s="59"/>
      <c r="FC164" s="59"/>
      <c r="FD164" s="59"/>
      <c r="FE164" s="59"/>
      <c r="FF164" s="59"/>
      <c r="FG164" s="59"/>
      <c r="FH164" s="59"/>
      <c r="FI164" s="59"/>
      <c r="FJ164" s="59"/>
      <c r="FK164" s="59"/>
      <c r="FL164" s="59"/>
      <c r="FM164" s="59"/>
      <c r="FN164" s="59"/>
      <c r="FO164" s="60"/>
    </row>
    <row r="165" s="5" customFormat="1" ht="16.5" customHeight="1" spans="1:171">
      <c r="A165" s="40">
        <v>7</v>
      </c>
      <c r="B165" s="144" t="s">
        <v>228</v>
      </c>
      <c r="C165" s="144"/>
      <c r="D165" s="144"/>
      <c r="E165" s="144"/>
      <c r="F165" s="144"/>
      <c r="G165" s="144"/>
      <c r="H165" s="144"/>
      <c r="I165" s="145"/>
      <c r="J165" s="125"/>
      <c r="K165" s="125"/>
      <c r="L165" s="125"/>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c r="CO165" s="59"/>
      <c r="CP165" s="59"/>
      <c r="CQ165" s="59"/>
      <c r="CR165" s="59"/>
      <c r="CS165" s="59"/>
      <c r="CT165" s="59"/>
      <c r="CU165" s="59"/>
      <c r="CV165" s="59"/>
      <c r="CW165" s="59"/>
      <c r="CX165" s="59"/>
      <c r="CY165" s="59"/>
      <c r="CZ165" s="59"/>
      <c r="DA165" s="59"/>
      <c r="DB165" s="59"/>
      <c r="DC165" s="59"/>
      <c r="DD165" s="59"/>
      <c r="DE165" s="59"/>
      <c r="DF165" s="59"/>
      <c r="DG165" s="59"/>
      <c r="DH165" s="59"/>
      <c r="DI165" s="59"/>
      <c r="DJ165" s="59"/>
      <c r="DK165" s="59"/>
      <c r="DL165" s="59"/>
      <c r="DM165" s="59"/>
      <c r="DN165" s="59"/>
      <c r="DO165" s="59"/>
      <c r="DP165" s="59"/>
      <c r="DQ165" s="59"/>
      <c r="DR165" s="59"/>
      <c r="DS165" s="59"/>
      <c r="DT165" s="59"/>
      <c r="DU165" s="59"/>
      <c r="DV165" s="59"/>
      <c r="DW165" s="59"/>
      <c r="DX165" s="59"/>
      <c r="DY165" s="59"/>
      <c r="DZ165" s="59"/>
      <c r="EA165" s="59"/>
      <c r="EB165" s="59"/>
      <c r="EC165" s="59"/>
      <c r="ED165" s="59"/>
      <c r="EE165" s="59"/>
      <c r="EF165" s="59"/>
      <c r="EG165" s="59"/>
      <c r="EH165" s="59"/>
      <c r="EI165" s="59"/>
      <c r="EJ165" s="59"/>
      <c r="EK165" s="59"/>
      <c r="EL165" s="59"/>
      <c r="EM165" s="59"/>
      <c r="EN165" s="59"/>
      <c r="EO165" s="59"/>
      <c r="EP165" s="59"/>
      <c r="EQ165" s="59"/>
      <c r="ER165" s="59"/>
      <c r="ES165" s="59"/>
      <c r="ET165" s="59"/>
      <c r="EU165" s="59"/>
      <c r="EV165" s="59"/>
      <c r="EW165" s="59"/>
      <c r="EX165" s="59"/>
      <c r="EY165" s="59"/>
      <c r="EZ165" s="59"/>
      <c r="FA165" s="59"/>
      <c r="FB165" s="59"/>
      <c r="FC165" s="59"/>
      <c r="FD165" s="59"/>
      <c r="FE165" s="59"/>
      <c r="FF165" s="59"/>
      <c r="FG165" s="59"/>
      <c r="FH165" s="59"/>
      <c r="FI165" s="59"/>
      <c r="FJ165" s="59"/>
      <c r="FK165" s="59"/>
      <c r="FL165" s="59"/>
      <c r="FM165" s="59"/>
      <c r="FN165" s="59"/>
      <c r="FO165" s="60"/>
    </row>
    <row r="166" s="5" customFormat="1" ht="16" customHeight="1" spans="1:171">
      <c r="A166" s="40">
        <v>8</v>
      </c>
      <c r="B166" s="144" t="s">
        <v>229</v>
      </c>
      <c r="C166" s="144"/>
      <c r="D166" s="144"/>
      <c r="E166" s="144"/>
      <c r="F166" s="144"/>
      <c r="G166" s="144"/>
      <c r="H166" s="144"/>
      <c r="I166" s="145"/>
      <c r="J166" s="125"/>
      <c r="K166" s="125"/>
      <c r="L166" s="125"/>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c r="CQ166" s="59"/>
      <c r="CR166" s="59"/>
      <c r="CS166" s="59"/>
      <c r="CT166" s="59"/>
      <c r="CU166" s="59"/>
      <c r="CV166" s="59"/>
      <c r="CW166" s="59"/>
      <c r="CX166" s="59"/>
      <c r="CY166" s="59"/>
      <c r="CZ166" s="59"/>
      <c r="DA166" s="59"/>
      <c r="DB166" s="59"/>
      <c r="DC166" s="59"/>
      <c r="DD166" s="59"/>
      <c r="DE166" s="59"/>
      <c r="DF166" s="59"/>
      <c r="DG166" s="59"/>
      <c r="DH166" s="59"/>
      <c r="DI166" s="59"/>
      <c r="DJ166" s="59"/>
      <c r="DK166" s="59"/>
      <c r="DL166" s="59"/>
      <c r="DM166" s="59"/>
      <c r="DN166" s="59"/>
      <c r="DO166" s="59"/>
      <c r="DP166" s="59"/>
      <c r="DQ166" s="59"/>
      <c r="DR166" s="59"/>
      <c r="DS166" s="59"/>
      <c r="DT166" s="59"/>
      <c r="DU166" s="59"/>
      <c r="DV166" s="59"/>
      <c r="DW166" s="59"/>
      <c r="DX166" s="59"/>
      <c r="DY166" s="59"/>
      <c r="DZ166" s="59"/>
      <c r="EA166" s="59"/>
      <c r="EB166" s="59"/>
      <c r="EC166" s="59"/>
      <c r="ED166" s="59"/>
      <c r="EE166" s="59"/>
      <c r="EF166" s="59"/>
      <c r="EG166" s="59"/>
      <c r="EH166" s="59"/>
      <c r="EI166" s="59"/>
      <c r="EJ166" s="59"/>
      <c r="EK166" s="59"/>
      <c r="EL166" s="59"/>
      <c r="EM166" s="59"/>
      <c r="EN166" s="59"/>
      <c r="EO166" s="59"/>
      <c r="EP166" s="59"/>
      <c r="EQ166" s="59"/>
      <c r="ER166" s="59"/>
      <c r="ES166" s="59"/>
      <c r="ET166" s="59"/>
      <c r="EU166" s="59"/>
      <c r="EV166" s="59"/>
      <c r="EW166" s="59"/>
      <c r="EX166" s="59"/>
      <c r="EY166" s="59"/>
      <c r="EZ166" s="59"/>
      <c r="FA166" s="59"/>
      <c r="FB166" s="59"/>
      <c r="FC166" s="59"/>
      <c r="FD166" s="59"/>
      <c r="FE166" s="59"/>
      <c r="FF166" s="59"/>
      <c r="FG166" s="59"/>
      <c r="FH166" s="59"/>
      <c r="FI166" s="59"/>
      <c r="FJ166" s="59"/>
      <c r="FK166" s="59"/>
      <c r="FL166" s="59"/>
      <c r="FM166" s="59"/>
      <c r="FN166" s="59"/>
      <c r="FO166" s="60"/>
    </row>
    <row r="167" s="5" customFormat="1" ht="16" customHeight="1" spans="1:171">
      <c r="A167" s="40">
        <v>9</v>
      </c>
      <c r="B167" s="144" t="s">
        <v>230</v>
      </c>
      <c r="C167" s="144"/>
      <c r="D167" s="144"/>
      <c r="E167" s="144"/>
      <c r="F167" s="144"/>
      <c r="G167" s="144"/>
      <c r="H167" s="144"/>
      <c r="I167" s="145"/>
      <c r="J167" s="125"/>
      <c r="K167" s="125"/>
      <c r="L167" s="125"/>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c r="CO167" s="59"/>
      <c r="CP167" s="59"/>
      <c r="CQ167" s="59"/>
      <c r="CR167" s="59"/>
      <c r="CS167" s="59"/>
      <c r="CT167" s="59"/>
      <c r="CU167" s="59"/>
      <c r="CV167" s="59"/>
      <c r="CW167" s="59"/>
      <c r="CX167" s="59"/>
      <c r="CY167" s="59"/>
      <c r="CZ167" s="59"/>
      <c r="DA167" s="59"/>
      <c r="DB167" s="59"/>
      <c r="DC167" s="59"/>
      <c r="DD167" s="59"/>
      <c r="DE167" s="59"/>
      <c r="DF167" s="59"/>
      <c r="DG167" s="59"/>
      <c r="DH167" s="59"/>
      <c r="DI167" s="59"/>
      <c r="DJ167" s="59"/>
      <c r="DK167" s="59"/>
      <c r="DL167" s="59"/>
      <c r="DM167" s="59"/>
      <c r="DN167" s="59"/>
      <c r="DO167" s="59"/>
      <c r="DP167" s="59"/>
      <c r="DQ167" s="59"/>
      <c r="DR167" s="59"/>
      <c r="DS167" s="59"/>
      <c r="DT167" s="59"/>
      <c r="DU167" s="59"/>
      <c r="DV167" s="59"/>
      <c r="DW167" s="59"/>
      <c r="DX167" s="59"/>
      <c r="DY167" s="59"/>
      <c r="DZ167" s="59"/>
      <c r="EA167" s="59"/>
      <c r="EB167" s="59"/>
      <c r="EC167" s="59"/>
      <c r="ED167" s="59"/>
      <c r="EE167" s="59"/>
      <c r="EF167" s="59"/>
      <c r="EG167" s="59"/>
      <c r="EH167" s="59"/>
      <c r="EI167" s="59"/>
      <c r="EJ167" s="59"/>
      <c r="EK167" s="59"/>
      <c r="EL167" s="59"/>
      <c r="EM167" s="59"/>
      <c r="EN167" s="59"/>
      <c r="EO167" s="59"/>
      <c r="EP167" s="59"/>
      <c r="EQ167" s="59"/>
      <c r="ER167" s="59"/>
      <c r="ES167" s="59"/>
      <c r="ET167" s="59"/>
      <c r="EU167" s="59"/>
      <c r="EV167" s="59"/>
      <c r="EW167" s="59"/>
      <c r="EX167" s="59"/>
      <c r="EY167" s="59"/>
      <c r="EZ167" s="59"/>
      <c r="FA167" s="59"/>
      <c r="FB167" s="59"/>
      <c r="FC167" s="59"/>
      <c r="FD167" s="59"/>
      <c r="FE167" s="59"/>
      <c r="FF167" s="59"/>
      <c r="FG167" s="59"/>
      <c r="FH167" s="59"/>
      <c r="FI167" s="59"/>
      <c r="FJ167" s="59"/>
      <c r="FK167" s="59"/>
      <c r="FL167" s="59"/>
      <c r="FM167" s="59"/>
      <c r="FN167" s="59"/>
      <c r="FO167" s="60"/>
    </row>
    <row r="168" s="18" customFormat="1" ht="15.75" customHeight="1" spans="1:171">
      <c r="A168" s="146"/>
      <c r="B168" s="147" t="s">
        <v>231</v>
      </c>
      <c r="C168" s="147"/>
      <c r="D168" s="147"/>
      <c r="E168" s="147"/>
      <c r="F168" s="147"/>
      <c r="G168" s="147"/>
      <c r="H168" s="147"/>
      <c r="I168" s="147"/>
      <c r="J168" s="125"/>
      <c r="K168" s="125"/>
      <c r="L168" s="125"/>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c r="CO168" s="59"/>
      <c r="CP168" s="59"/>
      <c r="CQ168" s="59"/>
      <c r="CR168" s="59"/>
      <c r="CS168" s="59"/>
      <c r="CT168" s="59"/>
      <c r="CU168" s="59"/>
      <c r="CV168" s="59"/>
      <c r="CW168" s="59"/>
      <c r="CX168" s="59"/>
      <c r="CY168" s="59"/>
      <c r="CZ168" s="59"/>
      <c r="DA168" s="59"/>
      <c r="DB168" s="59"/>
      <c r="DC168" s="59"/>
      <c r="DD168" s="59"/>
      <c r="DE168" s="59"/>
      <c r="DF168" s="59"/>
      <c r="DG168" s="59"/>
      <c r="DH168" s="59"/>
      <c r="DI168" s="59"/>
      <c r="DJ168" s="59"/>
      <c r="DK168" s="59"/>
      <c r="DL168" s="59"/>
      <c r="DM168" s="59"/>
      <c r="DN168" s="59"/>
      <c r="DO168" s="59"/>
      <c r="DP168" s="59"/>
      <c r="DQ168" s="59"/>
      <c r="DR168" s="59"/>
      <c r="DS168" s="59"/>
      <c r="DT168" s="59"/>
      <c r="DU168" s="59"/>
      <c r="DV168" s="59"/>
      <c r="DW168" s="59"/>
      <c r="DX168" s="59"/>
      <c r="DY168" s="59"/>
      <c r="DZ168" s="59"/>
      <c r="EA168" s="59"/>
      <c r="EB168" s="59"/>
      <c r="EC168" s="59"/>
      <c r="ED168" s="59"/>
      <c r="EE168" s="59"/>
      <c r="EF168" s="59"/>
      <c r="EG168" s="59"/>
      <c r="EH168" s="59"/>
      <c r="EI168" s="59"/>
      <c r="EJ168" s="59"/>
      <c r="EK168" s="59"/>
      <c r="EL168" s="59"/>
      <c r="EM168" s="59"/>
      <c r="EN168" s="59"/>
      <c r="EO168" s="59"/>
      <c r="EP168" s="59"/>
      <c r="EQ168" s="59"/>
      <c r="ER168" s="59"/>
      <c r="ES168" s="59"/>
      <c r="ET168" s="59"/>
      <c r="EU168" s="59"/>
      <c r="EV168" s="59"/>
      <c r="EW168" s="59"/>
      <c r="EX168" s="59"/>
      <c r="EY168" s="59"/>
      <c r="EZ168" s="59"/>
      <c r="FA168" s="59"/>
      <c r="FB168" s="59"/>
      <c r="FC168" s="59"/>
      <c r="FD168" s="59"/>
      <c r="FE168" s="59"/>
      <c r="FF168" s="59"/>
      <c r="FG168" s="59"/>
      <c r="FH168" s="59"/>
      <c r="FI168" s="59"/>
      <c r="FJ168" s="59"/>
      <c r="FK168" s="59"/>
      <c r="FL168" s="59"/>
      <c r="FM168" s="59"/>
      <c r="FN168" s="59"/>
    </row>
  </sheetData>
  <mergeCells count="31">
    <mergeCell ref="A1:I1"/>
    <mergeCell ref="A2:H2"/>
    <mergeCell ref="A3:K3"/>
    <mergeCell ref="B8:E8"/>
    <mergeCell ref="B46:E46"/>
    <mergeCell ref="B78:E78"/>
    <mergeCell ref="B95:E95"/>
    <mergeCell ref="B127:I127"/>
    <mergeCell ref="B133:G133"/>
    <mergeCell ref="C158:I158"/>
    <mergeCell ref="B159:I159"/>
    <mergeCell ref="B160:I160"/>
    <mergeCell ref="B161:I161"/>
    <mergeCell ref="B162:I162"/>
    <mergeCell ref="B163:I163"/>
    <mergeCell ref="B164:I164"/>
    <mergeCell ref="B165:I165"/>
    <mergeCell ref="B166:I166"/>
    <mergeCell ref="B167:I167"/>
    <mergeCell ref="B168:I168"/>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2019报价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2026-07-14T03:24:50Z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alculationRule">
    <vt:i4>0</vt:i4>
  </property>
</Properties>
</file>