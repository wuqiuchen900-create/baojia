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7.4" sheetId="15" r:id="rId1"/>
  </sheets>
  <definedNames>
    <definedName name="\P">#REF!</definedName>
    <definedName name="_xlnm.Print_Area" localSheetId="0">'7.4'!$A$1:$I$353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<sst xmlns="http://schemas.openxmlformats.org/spreadsheetml/2006/main" count="942" uniqueCount="267">
  <si>
    <t xml:space="preserve">                                                                                      广东帝豪装饰集团巴中分公司（工程预算单）
</t>
  </si>
  <si>
    <t xml:space="preserve">工程名称：南江半山爱马仕10-101
             </t>
  </si>
  <si>
    <t>公司地址:巴中市黄家沟居然之家四楼2-4-009号                                        电话:0827-3888300</t>
  </si>
  <si>
    <t>序号</t>
  </si>
  <si>
    <t>项目内容</t>
  </si>
  <si>
    <t>数量</t>
  </si>
  <si>
    <t>单位</t>
  </si>
  <si>
    <t>材料</t>
  </si>
  <si>
    <t>人工</t>
  </si>
  <si>
    <t>施工工艺及材料说明</t>
  </si>
  <si>
    <t>单价</t>
  </si>
  <si>
    <t>合价</t>
  </si>
  <si>
    <t>一</t>
  </si>
  <si>
    <t>台球厅及楼梯</t>
  </si>
  <si>
    <t>窗帘盒</t>
  </si>
  <si>
    <t>M</t>
  </si>
  <si>
    <t>欧松板、石膏板、辅料、人工及机具费。</t>
  </si>
  <si>
    <t>石膏板平面天花</t>
  </si>
  <si>
    <r>
      <rPr>
        <sz val="11"/>
        <rFont val="新宋体"/>
        <charset val="134"/>
      </rPr>
      <t>M</t>
    </r>
    <r>
      <rPr>
        <vertAlign val="superscript"/>
        <sz val="11"/>
        <rFont val="新宋体"/>
        <charset val="134"/>
      </rPr>
      <t>2</t>
    </r>
  </si>
  <si>
    <t>木龙骨或轻钢龙骨框架结构、膨胀螺丝固定、纸面石膏板封面（以展开面积计算)、乳胶漆另计</t>
  </si>
  <si>
    <t>造型天花</t>
  </si>
  <si>
    <r>
      <rPr>
        <sz val="11"/>
        <color theme="1"/>
        <rFont val="新宋体"/>
        <charset val="134"/>
      </rPr>
      <t>M</t>
    </r>
    <r>
      <rPr>
        <vertAlign val="superscript"/>
        <sz val="11"/>
        <color theme="1"/>
        <rFont val="新宋体"/>
        <charset val="134"/>
      </rPr>
      <t>2</t>
    </r>
  </si>
  <si>
    <t>木龙骨或轻钢龙骨框架，造型位置夹板框架、纸面石膏板封面(以展开面积计算)、弧型处夹板衬底、乳胶漆另计。</t>
  </si>
  <si>
    <t xml:space="preserve"> </t>
  </si>
  <si>
    <t>天花虚光灯槽</t>
  </si>
  <si>
    <t>m</t>
  </si>
  <si>
    <t>欧松板打底石膏板封面，辅料、人工及机具费。</t>
  </si>
  <si>
    <t>客厅及餐厅正铺地砖（300-800MM）</t>
  </si>
  <si>
    <t>１、强度32.5MPa普通硅酸盐水泥、水泥沙浆铺设等辅料及人工工资。2、地砖、水泥、砂浆厚度超过4CM按找平另计。（地砖业主自购）</t>
  </si>
  <si>
    <t>勾缝处理</t>
  </si>
  <si>
    <t>人工、辅料及瓷砖缝清洗</t>
  </si>
  <si>
    <t>造型基层</t>
  </si>
  <si>
    <r>
      <rPr>
        <sz val="11"/>
        <rFont val="宋体"/>
        <charset val="134"/>
      </rPr>
      <t>M</t>
    </r>
    <r>
      <rPr>
        <vertAlign val="superscript"/>
        <sz val="11"/>
        <rFont val="宋体"/>
        <charset val="134"/>
      </rPr>
      <t>2</t>
    </r>
  </si>
  <si>
    <t>木龙骨框架结构，膨胀螺丝固定，欧松板封面刷防潮油、人工及机具费。（***业主自购）</t>
  </si>
  <si>
    <t>墙顶面基层加固</t>
  </si>
  <si>
    <t>鸟巢界面剂或德高界面剂、人工及机具费。</t>
  </si>
  <si>
    <t>墙面基层处理（鸟巢腻子）</t>
  </si>
  <si>
    <t>鸟巢水性嵌缝石膏补顶缝、瑞安健康找平腻子底层、瑞安健康腻子面层、白布、砂纸、牛皮纸、人工及机具费。</t>
  </si>
  <si>
    <t>芬琳芬华五合一内墙乳胶漆</t>
  </si>
  <si>
    <t>1、底漆、面漆、人工及机具费。(有色漆每平米另加3元、若要求喷漆另加3元）</t>
  </si>
  <si>
    <t>墙面漆护角</t>
  </si>
  <si>
    <t>项</t>
  </si>
  <si>
    <t>天花及墙面阳角护角、人工及机具费。</t>
  </si>
  <si>
    <t>防潮处理</t>
  </si>
  <si>
    <t>1、木制作与墙面接触处刷防潮油，中间防潮棉相隔。2、人工工资</t>
  </si>
  <si>
    <t>地面保护</t>
  </si>
  <si>
    <t>广东帝豪装饰专用保护棉、辅料及人工</t>
  </si>
  <si>
    <t>小计</t>
  </si>
  <si>
    <t>二</t>
  </si>
  <si>
    <t>公卫</t>
  </si>
  <si>
    <t>铺地砖（正贴（800MM））</t>
  </si>
  <si>
    <t>墙面贴瓷片</t>
  </si>
  <si>
    <r>
      <rPr>
        <sz val="10"/>
        <color theme="1"/>
        <rFont val="新宋体"/>
        <charset val="134"/>
      </rPr>
      <t>强度32.5MPa水泥、水泥沙浆铺设及人工工资。（瓷片业主自购、瓷砖胶粘贴另加15元／M</t>
    </r>
    <r>
      <rPr>
        <vertAlign val="superscript"/>
        <sz val="10"/>
        <color theme="1"/>
        <rFont val="新宋体"/>
        <charset val="134"/>
      </rPr>
      <t>2</t>
    </r>
    <r>
      <rPr>
        <sz val="10"/>
        <color theme="1"/>
        <rFont val="新宋体"/>
        <charset val="134"/>
      </rPr>
      <t>）</t>
    </r>
  </si>
  <si>
    <t>墙面瓷砖刷背胶</t>
  </si>
  <si>
    <t>瓷砖背面刷瓷砖背胶，人工及机具费。（背胶业主自购）</t>
  </si>
  <si>
    <t>墙面瓷片碰角加工</t>
  </si>
  <si>
    <t>1、双面瓷片加工内边成直角拼接。2、人工及机具费。</t>
  </si>
  <si>
    <t>人工及瓷砖缝清洗</t>
  </si>
  <si>
    <t>地面防水处理</t>
  </si>
  <si>
    <t>德高防水（柔性）,人工及机具费</t>
  </si>
  <si>
    <t>地面防水保护层</t>
  </si>
  <si>
    <t>水泥、沙对已完工防水工程表面覆盖保护，厚度3-5公分</t>
  </si>
  <si>
    <t>墙面防水层</t>
  </si>
  <si>
    <t>1、墙面清理干净。2、德高防水（钢性）。3、人工及机具费</t>
  </si>
  <si>
    <t>三</t>
  </si>
  <si>
    <t>棋牌室</t>
  </si>
  <si>
    <t>四</t>
  </si>
  <si>
    <t>车库</t>
  </si>
  <si>
    <t>地面找平</t>
  </si>
  <si>
    <t>1、原地面清理、强度325MPa普通硅酸盐水、中沙水泥沙浆抹平、原地面水平放线、凸筋处理。2、找平厚度如超过4CM按双面计算、人工及机具费</t>
  </si>
  <si>
    <t>飘窗大理石铺贴</t>
  </si>
  <si>
    <t>1、含水泥、沙等辅料。2、人工及机具费（大理石业主自购）</t>
  </si>
  <si>
    <t>二楼</t>
  </si>
  <si>
    <t>客餐厅及楼梯</t>
  </si>
  <si>
    <t>天花预埋灯槽</t>
  </si>
  <si>
    <t>客厅及餐厅正铺地砖（750*1500MM）</t>
  </si>
  <si>
    <t>铺地砖（正贴（300-800MM））</t>
  </si>
  <si>
    <t>厨房</t>
  </si>
  <si>
    <t>1、德高防水（柔性）、高度300MM。2、人工及机具费</t>
  </si>
  <si>
    <t>老人房</t>
  </si>
  <si>
    <t>铺地砖（正贴800）</t>
  </si>
  <si>
    <t>五</t>
  </si>
  <si>
    <t>储物间</t>
  </si>
  <si>
    <t>六</t>
  </si>
  <si>
    <t>外花园</t>
  </si>
  <si>
    <t>铺地砖（正贴）</t>
  </si>
  <si>
    <t>围墙墙面贴瓷片</t>
  </si>
  <si>
    <t>1、双面瓷片加工内边成直角拼接。2、人工及机具费。(如门套内需碰角另计)</t>
  </si>
  <si>
    <t>沉箱架空处理</t>
  </si>
  <si>
    <t>水泥瓷砖预制板及人工架空处理、人工及机具费(瓷砖业主自购)</t>
  </si>
  <si>
    <t>地面自粘防水卷材</t>
  </si>
  <si>
    <t>1、蜀羊牌自粘防水卷材、厚度2MM、冷油、墙面开槽处理。墙面卷起高度80公分，2、人工及机具费。</t>
  </si>
  <si>
    <t>卷材防水保护层</t>
  </si>
  <si>
    <t xml:space="preserve">七 </t>
  </si>
  <si>
    <t>茶室</t>
  </si>
  <si>
    <t>阳台木制地台</t>
  </si>
  <si>
    <t>1、地面基层处理、木龙骨框架结构，15MM细欧松板封面，内刷防潮处理。2、人工及机具费。（高度150MM以内）</t>
  </si>
  <si>
    <t>三楼</t>
  </si>
  <si>
    <t>过道及楼梯</t>
  </si>
  <si>
    <t>铺地砖（正贴）（700*1500mm）</t>
  </si>
  <si>
    <t>儿子房</t>
  </si>
  <si>
    <t>主卫</t>
  </si>
  <si>
    <t>多功能室</t>
  </si>
  <si>
    <t>次卫</t>
  </si>
  <si>
    <t>墙面刷外墙漆</t>
  </si>
  <si>
    <t>1、墙面刷外墙漆、人工及机具费。</t>
  </si>
  <si>
    <t>墙面防水层(300MM高）</t>
  </si>
  <si>
    <t>阳台砌花池</t>
  </si>
  <si>
    <t>含水泥、沙、砖等材料及人工工资，花池高度600MM。（含墙面批档）</t>
  </si>
  <si>
    <t>花池防水处理</t>
  </si>
  <si>
    <t>1、西牛易涂型防水（柔性）或德高防水。2、人工及机具费</t>
  </si>
  <si>
    <t>四楼</t>
  </si>
  <si>
    <t>主卧及衣帽间</t>
  </si>
  <si>
    <t>防潮石膏板天花</t>
  </si>
  <si>
    <t>轻钢龙骨吊件或木龙骨框架结构，膨胀螺丝固定、防潮硅酸钙封面、涂料另计、人工及机具费。</t>
  </si>
  <si>
    <t>顶面基层处理（鸟巢防水腻子）</t>
  </si>
  <si>
    <t>防水嵌缝石膏补顶缝、外墙防水找平腻子底层、外墙防水腻子面层、白布、砂纸、牛皮纸、人工及机具费。</t>
  </si>
  <si>
    <t>防潮乳胶漆</t>
  </si>
  <si>
    <t>1、顶面刷防水乳胶漆、人工及机具费。</t>
  </si>
  <si>
    <t>露台</t>
  </si>
  <si>
    <t>八</t>
  </si>
  <si>
    <t>综合</t>
  </si>
  <si>
    <t>A</t>
  </si>
  <si>
    <t>电安装（部份改动）</t>
  </si>
  <si>
    <t>开关插座布线</t>
  </si>
  <si>
    <t>1、伟星PVC-U斯派诺线管、线夹、锁头、防腊管、波纹管、2.5平方电线、辅料、人工及机具费。</t>
  </si>
  <si>
    <t>电话线</t>
  </si>
  <si>
    <t>1、4芯线、PVC管、辅料等。2、人工及机具费</t>
  </si>
  <si>
    <t>电视线</t>
  </si>
  <si>
    <t>1、单芯线、PVC管、辅料等。2、人工及机具费</t>
  </si>
  <si>
    <t>光纤线</t>
  </si>
  <si>
    <t>网线</t>
  </si>
  <si>
    <t>音响线</t>
  </si>
  <si>
    <t>1、多芯线、PVC管、辅料等。2、人工及机具费</t>
  </si>
  <si>
    <t>液晶电视引线管</t>
  </si>
  <si>
    <t>1、59mmPVC管，预藏电视墙内，便于插座线及电视线穿插</t>
  </si>
  <si>
    <t>底盒、面板安装</t>
  </si>
  <si>
    <t>个</t>
  </si>
  <si>
    <t>1、底盒、按工地实际发生的数量计算</t>
  </si>
  <si>
    <r>
      <rPr>
        <sz val="11"/>
        <color theme="1"/>
        <rFont val="新宋体"/>
        <charset val="134"/>
      </rPr>
      <t>专线(4MM</t>
    </r>
    <r>
      <rPr>
        <vertAlign val="superscript"/>
        <sz val="11"/>
        <color theme="1"/>
        <rFont val="新宋体"/>
        <charset val="134"/>
      </rPr>
      <t>2</t>
    </r>
    <r>
      <rPr>
        <sz val="11"/>
        <color theme="1"/>
        <rFont val="新宋体"/>
        <charset val="134"/>
      </rPr>
      <t>)</t>
    </r>
  </si>
  <si>
    <t>1、客厅、卧室空调及厨房动力线为4平方毫米铜芯导线。2、接地线为2.5平方毫米铜芯导线。3、PVC管、弯头、直通。4、人工机具费</t>
  </si>
  <si>
    <r>
      <rPr>
        <sz val="11"/>
        <color theme="1"/>
        <rFont val="新宋体"/>
        <charset val="134"/>
      </rPr>
      <t>专线(6MM</t>
    </r>
    <r>
      <rPr>
        <vertAlign val="superscript"/>
        <sz val="11"/>
        <color theme="1"/>
        <rFont val="新宋体"/>
        <charset val="134"/>
      </rPr>
      <t>2</t>
    </r>
    <r>
      <rPr>
        <sz val="11"/>
        <color theme="1"/>
        <rFont val="新宋体"/>
        <charset val="134"/>
      </rPr>
      <t>)</t>
    </r>
  </si>
  <si>
    <t>1、客厅、卧室空调及厨房动力线为6平方毫米铜芯导线。2、接地线为2.5平方毫米铜芯导线。3、PVC管、弯头、直通。4、人工机具费</t>
  </si>
  <si>
    <r>
      <rPr>
        <sz val="11"/>
        <color theme="1"/>
        <rFont val="新宋体"/>
        <charset val="134"/>
      </rPr>
      <t>专线(10MM</t>
    </r>
    <r>
      <rPr>
        <vertAlign val="superscript"/>
        <sz val="11"/>
        <color theme="1"/>
        <rFont val="新宋体"/>
        <charset val="134"/>
      </rPr>
      <t>2</t>
    </r>
    <r>
      <rPr>
        <sz val="11"/>
        <color theme="1"/>
        <rFont val="新宋体"/>
        <charset val="134"/>
      </rPr>
      <t>)</t>
    </r>
  </si>
  <si>
    <t>1、客厅、卧室空调及厨房动力线为10平方毫米铜芯导线。2、接地线为2.5平方毫米铜芯导线。3、PVC管、弯头、直通。4、人工机具费</t>
  </si>
  <si>
    <t>强电箱安装</t>
  </si>
  <si>
    <t>1、水泥、沙、等辅料及人工安装费(含电箱)。2、配件业主自购。</t>
  </si>
  <si>
    <t>弱电箱安装</t>
  </si>
  <si>
    <t>灯具安装</t>
  </si>
  <si>
    <t>1、膨胀螺丝、电胶布等辅料及人工安装。2、三房两厅以内。3、四房两厅另加40元（复式或别墅另加160元、不含主灯）</t>
  </si>
  <si>
    <t>布线开槽</t>
  </si>
  <si>
    <t>切槽、人工及机具费 。</t>
  </si>
  <si>
    <t>B</t>
  </si>
  <si>
    <t>水安装（部份改动）</t>
  </si>
  <si>
    <t>冷、热给水管（布管）</t>
  </si>
  <si>
    <t>1、定位、伟星福管PPR管、安装水管、试压（辅料，人工及机具费.注：此项工程结算可能与报价相差较大．（不含水龙头及阀门）</t>
  </si>
  <si>
    <t>排水管安装</t>
  </si>
  <si>
    <t>1、定位、固定、试水、封管、弯头、伟星牌PVC-U（青韵）下水管，人工及机具费。2、按实际发生工程量计算</t>
  </si>
  <si>
    <t>排污管安装</t>
  </si>
  <si>
    <t>空调下水管安装</t>
  </si>
  <si>
    <t>PVC水管、按实际发生工程量计算</t>
  </si>
  <si>
    <t>总水阀安装</t>
  </si>
  <si>
    <t>总水阀及配件、人工及机具费。</t>
  </si>
  <si>
    <t>九</t>
  </si>
  <si>
    <t>其它</t>
  </si>
  <si>
    <t>门槛大理石铺贴</t>
  </si>
  <si>
    <t>1、水泥、沙、直线镶贴、弧型线另加20%。2、人工及机具费（大理石业主自购）</t>
  </si>
  <si>
    <t>沉箱回填</t>
  </si>
  <si>
    <t>1、沉箱清理。2、二次排水处理.3、水泥、沙、碎砖填平。4、人工及机具费</t>
  </si>
  <si>
    <t>包单排水管</t>
  </si>
  <si>
    <t>条</t>
  </si>
  <si>
    <t>水泥、沙、砖。人工及机具费。（贴瓷片另计、如需做隔音处理另加50元／条）</t>
  </si>
  <si>
    <t>包双排水管</t>
  </si>
  <si>
    <t>室内高空作业费</t>
  </si>
  <si>
    <t>脚手架、人字楼梯（复式楼）</t>
  </si>
  <si>
    <t>地漏安装</t>
  </si>
  <si>
    <t>水泥、沙、等辅料及人工安装费（地漏四周走边）。</t>
  </si>
  <si>
    <t>墙面修补</t>
  </si>
  <si>
    <t>1、门洞、边角及后期墙面损坏修补（包人工，水泥，沙）</t>
  </si>
  <si>
    <t>新建门洞(90CM内)</t>
  </si>
  <si>
    <t>1、钢筋、悬空处理、水泥、沙等辅料。2、人工及机具费</t>
  </si>
  <si>
    <t>中央空调风口加固</t>
  </si>
  <si>
    <t>中央空调出风口及入风口加固</t>
  </si>
  <si>
    <t>蹲厕安装</t>
  </si>
  <si>
    <t>1、水泥、沙、等辅料及人工安装费。2、蹲厕及下水业主自购</t>
  </si>
  <si>
    <t>淋浴基石安装</t>
  </si>
  <si>
    <t>１、含水泥、沙、砖、白水泥等辅料。2、人工及机具费（大理石业主自购）。</t>
  </si>
  <si>
    <t>成品保护</t>
  </si>
  <si>
    <t>专用保护膜、辅料及人工</t>
  </si>
  <si>
    <t>墙面防裂网</t>
  </si>
  <si>
    <r>
      <rPr>
        <sz val="11"/>
        <color indexed="8"/>
        <rFont val="宋体"/>
        <charset val="134"/>
      </rPr>
      <t>M</t>
    </r>
    <r>
      <rPr>
        <vertAlign val="superscript"/>
        <sz val="11"/>
        <color indexed="8"/>
        <rFont val="宋体"/>
        <charset val="134"/>
      </rPr>
      <t>2</t>
    </r>
  </si>
  <si>
    <t>墙面挂网、人工</t>
  </si>
  <si>
    <t>阳台大理石挡水边</t>
  </si>
  <si>
    <t>１、含水泥、沙、白水泥等辅料。2、人工及机具费（大理石业主自购）。</t>
  </si>
  <si>
    <t>烟道瓷片防脱落处理</t>
  </si>
  <si>
    <t>水泥、沙、砖、铁丝网。人工及机具费。（贴瓷片另计）</t>
  </si>
  <si>
    <t>拆现浇梁及立柱</t>
  </si>
  <si>
    <t>编织袋装袋及人工</t>
  </si>
  <si>
    <t>墙体拆除</t>
  </si>
  <si>
    <t>1、32CM以上墙体或是混凝土墙另计</t>
  </si>
  <si>
    <t>拆地砖</t>
  </si>
  <si>
    <t>拆墙面瓷片</t>
  </si>
  <si>
    <t>顶面白灰铲除</t>
  </si>
  <si>
    <t>人工及机具费(墙面如有白灰需铲除的需另加3元/㎡)</t>
  </si>
  <si>
    <t>卫生间墙面丙纶打磨</t>
  </si>
  <si>
    <t>1、卫生间墙面打磨。2、人工及机具费。</t>
  </si>
  <si>
    <t>砌墙（6分）</t>
  </si>
  <si>
    <t>1、水泥、沙、砖等辅料及人工工资。（不含墙面批档）</t>
  </si>
  <si>
    <t>砌墙（12分）</t>
  </si>
  <si>
    <t>砌墙（24分）</t>
  </si>
  <si>
    <t>墙面批档</t>
  </si>
  <si>
    <t>1、新老墙接触挂铁丝网批档、含水泥、沙、等材料及人工工资。2、（单面计算）</t>
  </si>
  <si>
    <t>开荒保洁</t>
  </si>
  <si>
    <t>全屋整体开荒保洁一次。</t>
  </si>
  <si>
    <t>合计</t>
  </si>
  <si>
    <t>直接费</t>
  </si>
  <si>
    <t>以下项目不打折</t>
  </si>
  <si>
    <t>搬运费3.5%</t>
  </si>
  <si>
    <t>1、不含主材搬运费（直接费*3.5%）</t>
  </si>
  <si>
    <t>建渣清运3%</t>
  </si>
  <si>
    <t>1、从施工现场运至物业指定垃圾堆放处。2、垃圾用编织袋等封装。3、此价格不含垃圾外运费。4、此项费用不包括物业收取的垃圾费（直接费*3%）</t>
  </si>
  <si>
    <t>管理费8%</t>
  </si>
  <si>
    <t>（直接费*8%）</t>
  </si>
  <si>
    <t>设计服务费5%</t>
  </si>
  <si>
    <t>（直接费*5%）</t>
  </si>
  <si>
    <t>总计</t>
  </si>
  <si>
    <t>税金=（总计*6%）</t>
  </si>
  <si>
    <t>1、以上价格未含税金，若要另开正规税务发票需另收总计6%的税费</t>
  </si>
  <si>
    <t>补充报价</t>
  </si>
  <si>
    <t>抽屉及键盘</t>
  </si>
  <si>
    <t>只</t>
  </si>
  <si>
    <t>1、1.8厚鹏鸿实木免漆板做主体结构、专用收边条收边。三节轨道固定。2、人工工资及机具费</t>
  </si>
  <si>
    <t>小挂件安装</t>
  </si>
  <si>
    <t>1、巾架、浴巾架、肥皂盒、杯托架等，每个算1项</t>
  </si>
  <si>
    <t>洗手盆安装</t>
  </si>
  <si>
    <t>1、玻璃胶、等辅料及人工安装费。洗手盆及下水业主自购</t>
  </si>
  <si>
    <t>淋浴安装</t>
  </si>
  <si>
    <t>1、玻璃胶、等辅料及人工安装费。淋浴喷洒业主自购</t>
  </si>
  <si>
    <t>座厕安装</t>
  </si>
  <si>
    <t>1、水泥、沙、等辅料及人工安装费。2、座厕及下水业主自购</t>
  </si>
  <si>
    <t>砌壁龛</t>
  </si>
  <si>
    <t>水泥、沙、红砖等辅料、人工及机具费。</t>
  </si>
  <si>
    <t>空调孔开孔</t>
  </si>
  <si>
    <t>人工及机具费</t>
  </si>
  <si>
    <t>开孔</t>
  </si>
  <si>
    <t>人工及机具费（厨房及卫生间瓷砖上开水管牙头孔）</t>
  </si>
  <si>
    <t>悬挂电视位红砖加固</t>
  </si>
  <si>
    <t>地暖后整体找平</t>
  </si>
  <si>
    <t>水泥、沙浆等辅料、人工及机具费(加钢丝网另加10元/㎡）</t>
  </si>
  <si>
    <t>做地暖门洞升高</t>
  </si>
  <si>
    <t>门洞升高及修补。</t>
  </si>
  <si>
    <t>暗装预埋花洒</t>
  </si>
  <si>
    <t>1、开槽，管件预埋、2、人工及机具费</t>
  </si>
  <si>
    <t>暗装预埋水箱</t>
  </si>
  <si>
    <t>1、开槽，水箱预埋、2、人工及机具费</t>
  </si>
  <si>
    <t>拆构造柱</t>
  </si>
  <si>
    <t>补充说明</t>
  </si>
  <si>
    <t>业主自购材料：大理石、地砖、瓷片、墙纸及墙布、艺术漆、木地板、灯具、洁具、橱柜及电器、铝扣吊顶、艺术玻璃、定制家具及护墙板、实木雕花、水龙头、门窗及门锁、五金件、开关插座面板、地漏、空调打洞、煤气总闸等</t>
  </si>
  <si>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</si>
  <si>
    <t>如果您先做预算（指尚未出施工图纸），此报价仅供您参考或作为您与我公司签定合同的参考依据，我公司保留依施工图纸所用材料和加工件复杂系数 ，修订项目单价的权力（具体价格待施工图确定后再定）</t>
  </si>
  <si>
    <t>工程所在地方的房管局审批费用和物业管理处所交一切费用由业主支付；乙方协助提供甲方所需相关资料。施工中如有增减项目，以增减项目变更单为准结算工程款；工程结算时，按实际发生的工程量计算；</t>
  </si>
  <si>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</si>
  <si>
    <t>超过二层及以上无电梯或电梯不准运输，材料搬运费及垃圾清运费另加合计费的2%；五层及以上无电梯或电梯不准运输，材料搬运费及垃圾清运费另加3% .（注：含有电梯但不准运输）以此类推。</t>
  </si>
  <si>
    <t>业主交纳工程款时，必须见到带有本公司财务公章的正规收据，否则本公司有权不予认可</t>
  </si>
  <si>
    <t>施工过程中，如果业主装修项目有违反建筑装饰施工条例的项目，本公司有权拒绝施工。(如甲方强制要求施工，本公司不予保修及承担任何责任）</t>
  </si>
  <si>
    <r>
      <rPr>
        <sz val="11"/>
        <rFont val="新宋体"/>
        <charset val="134"/>
      </rPr>
      <t>注：本报价中增加项目及水电项目未含</t>
    </r>
    <r>
      <rPr>
        <b/>
        <sz val="11"/>
        <rFont val="新宋体"/>
        <charset val="134"/>
      </rPr>
      <t>以下项目不打折</t>
    </r>
    <r>
      <rPr>
        <sz val="11"/>
        <rFont val="新宋体"/>
        <charset val="134"/>
      </rPr>
      <t>的费用，结算时应予以加上。</t>
    </r>
  </si>
  <si>
    <t>业主：　　　　　审核：　　　　　　设计师：　　　　　　施工图：　　　　　效果图：　　　　　报价：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</si>
</sst>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 "/>
    <numFmt numFmtId="178" formatCode="0.0_ "/>
  </numFmts>
  <fonts count="60">
    <font>
      <sz val="12"/>
      <name val="宋体"/>
      <charset val="134"/>
    </font>
    <font>
      <sz val="10"/>
      <color theme="1"/>
      <name val="宋体"/>
      <charset val="134"/>
    </font>
    <font>
      <sz val="11"/>
      <name val="宋体"/>
      <charset val="134"/>
    </font>
    <font>
      <sz val="11"/>
      <color theme="1"/>
      <name val="宋体"/>
      <charset val="134"/>
    </font>
    <font>
      <sz val="10"/>
      <name val="宋体"/>
      <charset val="134"/>
    </font>
    <font>
      <b/>
      <sz val="11"/>
      <color indexed="55"/>
      <name val="宋体"/>
      <charset val="134"/>
    </font>
    <font>
      <sz val="12"/>
      <color indexed="8"/>
      <name val="宋体"/>
      <charset val="134"/>
    </font>
    <font>
      <sz val="12"/>
      <color theme="1"/>
      <name val="宋体"/>
      <charset val="134"/>
    </font>
    <font>
      <b/>
      <sz val="18"/>
      <name val="新宋体"/>
      <charset val="134"/>
    </font>
    <font>
      <sz val="12"/>
      <name val="新宋体"/>
      <charset val="134"/>
    </font>
    <font>
      <b/>
      <sz val="12"/>
      <name val="新宋体"/>
      <charset val="134"/>
    </font>
    <font>
      <b/>
      <sz val="14"/>
      <name val="新宋体"/>
      <charset val="134"/>
    </font>
    <font>
      <sz val="10"/>
      <name val="新宋体"/>
      <charset val="134"/>
    </font>
    <font>
      <b/>
      <sz val="11"/>
      <name val="新宋体"/>
      <charset val="134"/>
    </font>
    <font>
      <sz val="11"/>
      <name val="新宋体"/>
      <charset val="134"/>
    </font>
    <font>
      <sz val="11"/>
      <color theme="1"/>
      <name val="新宋体"/>
      <charset val="134"/>
    </font>
    <font>
      <sz val="10"/>
      <color theme="1"/>
      <name val="新宋体"/>
      <charset val="134"/>
    </font>
    <font>
      <b/>
      <sz val="11"/>
      <color theme="1"/>
      <name val="新宋体"/>
      <charset val="134"/>
    </font>
    <font>
      <b/>
      <sz val="11"/>
      <color indexed="55"/>
      <name val="新宋体"/>
      <charset val="134"/>
    </font>
    <font>
      <b/>
      <sz val="11"/>
      <color indexed="8"/>
      <name val="新宋体"/>
      <charset val="134"/>
    </font>
    <font>
      <sz val="11"/>
      <color indexed="55"/>
      <name val="新宋体"/>
      <charset val="134"/>
    </font>
    <font>
      <sz val="11"/>
      <color indexed="63"/>
      <name val="新宋体"/>
      <charset val="134"/>
    </font>
    <font>
      <b/>
      <sz val="10"/>
      <color indexed="55"/>
      <name val="新宋体"/>
      <charset val="134"/>
    </font>
    <font>
      <sz val="10"/>
      <color indexed="8"/>
      <name val="新宋体"/>
      <charset val="134"/>
    </font>
    <font>
      <sz val="9"/>
      <color theme="1"/>
      <name val="新宋体"/>
      <charset val="134"/>
    </font>
    <font>
      <b/>
      <sz val="9"/>
      <name val="新宋体"/>
      <charset val="134"/>
    </font>
    <font>
      <sz val="10"/>
      <color indexed="8"/>
      <name val="宋体"/>
      <charset val="134"/>
    </font>
    <font>
      <sz val="11"/>
      <color indexed="8"/>
      <name val="宋体"/>
      <charset val="134"/>
    </font>
    <font>
      <sz val="11"/>
      <color indexed="8"/>
      <name val="新宋体"/>
      <charset val="134"/>
    </font>
    <font>
      <sz val="12"/>
      <color indexed="8"/>
      <name val="新宋体"/>
      <charset val="134"/>
    </font>
    <font>
      <sz val="9"/>
      <name val="新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8"/>
      <name val="Arial"/>
      <charset val="134"/>
    </font>
    <font>
      <b/>
      <sz val="12"/>
      <name val="Arial"/>
      <charset val="134"/>
    </font>
    <font>
      <sz val="10"/>
      <name val="Arial"/>
      <charset val="134"/>
    </font>
    <font>
      <vertAlign val="superscript"/>
      <sz val="11"/>
      <name val="宋体"/>
      <charset val="134"/>
    </font>
    <font>
      <vertAlign val="superscript"/>
      <sz val="10"/>
      <color theme="1"/>
      <name val="新宋体"/>
      <charset val="134"/>
    </font>
    <font>
      <vertAlign val="superscript"/>
      <sz val="11"/>
      <color theme="1"/>
      <name val="新宋体"/>
      <charset val="134"/>
    </font>
    <font>
      <vertAlign val="superscript"/>
      <sz val="11"/>
      <color indexed="8"/>
      <name val="宋体"/>
      <charset val="134"/>
    </font>
    <font>
      <vertAlign val="superscript"/>
      <sz val="11"/>
      <name val="新宋体"/>
      <charset val="134"/>
    </font>
  </fonts>
  <fills count="3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s>
  <cellStyleXfs count="66">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6" borderId="15"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6" applyNumberFormat="0" applyFill="0" applyAlignment="0" applyProtection="0">
      <alignment vertical="center"/>
    </xf>
    <xf numFmtId="0" fontId="38" fillId="0" borderId="16" applyNumberFormat="0" applyFill="0" applyAlignment="0" applyProtection="0">
      <alignment vertical="center"/>
    </xf>
    <xf numFmtId="0" fontId="39" fillId="0" borderId="17" applyNumberFormat="0" applyFill="0" applyAlignment="0" applyProtection="0">
      <alignment vertical="center"/>
    </xf>
    <xf numFmtId="0" fontId="39" fillId="0" borderId="0" applyNumberFormat="0" applyFill="0" applyBorder="0" applyAlignment="0" applyProtection="0">
      <alignment vertical="center"/>
    </xf>
    <xf numFmtId="0" fontId="40" fillId="7" borderId="18" applyNumberFormat="0" applyAlignment="0" applyProtection="0">
      <alignment vertical="center"/>
    </xf>
    <xf numFmtId="0" fontId="41" fillId="8" borderId="19" applyNumberFormat="0" applyAlignment="0" applyProtection="0">
      <alignment vertical="center"/>
    </xf>
    <xf numFmtId="0" fontId="42" fillId="8" borderId="18" applyNumberFormat="0" applyAlignment="0" applyProtection="0">
      <alignment vertical="center"/>
    </xf>
    <xf numFmtId="0" fontId="43" fillId="9" borderId="20" applyNumberFormat="0" applyAlignment="0" applyProtection="0">
      <alignment vertical="center"/>
    </xf>
    <xf numFmtId="0" fontId="44" fillId="0" borderId="21" applyNumberFormat="0" applyFill="0" applyAlignment="0" applyProtection="0">
      <alignment vertical="center"/>
    </xf>
    <xf numFmtId="0" fontId="45" fillId="0" borderId="22" applyNumberFormat="0" applyFill="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9" fillId="13" borderId="0" applyNumberFormat="0" applyBorder="0" applyAlignment="0" applyProtection="0">
      <alignment vertical="center"/>
    </xf>
    <xf numFmtId="0" fontId="50" fillId="14" borderId="0" applyNumberFormat="0" applyBorder="0" applyAlignment="0" applyProtection="0">
      <alignment vertical="center"/>
    </xf>
    <xf numFmtId="0" fontId="50"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0"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51" fillId="0" borderId="0"/>
    <xf numFmtId="0" fontId="51" fillId="0" borderId="0"/>
    <xf numFmtId="176"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0" fontId="0" fillId="0" borderId="0"/>
    <xf numFmtId="176" fontId="0" fillId="0" borderId="0" applyFont="0" applyFill="0" applyBorder="0" applyAlignment="0" applyProtection="0"/>
    <xf numFmtId="0" fontId="0" fillId="0" borderId="0"/>
    <xf numFmtId="0" fontId="52" fillId="0" borderId="5">
      <alignment horizontal="center"/>
    </xf>
    <xf numFmtId="0" fontId="53" fillId="0" borderId="23" applyNumberFormat="0" applyAlignment="0" applyProtection="0">
      <alignment horizontal="left" vertical="center"/>
    </xf>
    <xf numFmtId="0" fontId="53" fillId="0" borderId="14">
      <alignment horizontal="left" vertical="center"/>
    </xf>
    <xf numFmtId="0" fontId="54" fillId="0" borderId="0"/>
    <xf numFmtId="0" fontId="0" fillId="0" borderId="0"/>
    <xf numFmtId="43" fontId="0" fillId="0" borderId="0" applyFont="0" applyFill="0" applyBorder="0" applyAlignment="0" applyProtection="0"/>
  </cellStyleXfs>
  <cellXfs count="190">
    <xf numFmtId="0" fontId="0" fillId="0" borderId="0" xfId="0"/>
    <xf numFmtId="0" fontId="0" fillId="0" borderId="1" xfId="0" applyBorder="1" applyAlignment="1">
      <alignment horizontal="center" vertical="center"/>
    </xf>
    <xf numFmtId="0" fontId="0" fillId="0" borderId="1" xfId="0" applyBorder="1"/>
    <xf numFmtId="0" fontId="0" fillId="0" borderId="2" xfId="0" applyBorder="1"/>
    <xf numFmtId="0" fontId="1" fillId="0" borderId="3" xfId="0" applyFont="1" applyBorder="1" applyAlignment="1">
      <alignment wrapText="1"/>
    </xf>
    <xf numFmtId="0" fontId="1" fillId="0" borderId="0" xfId="0" applyFont="1" applyAlignment="1">
      <alignment wrapText="1"/>
    </xf>
    <xf numFmtId="0" fontId="2" fillId="2" borderId="4" xfId="0" applyFont="1" applyFill="1" applyBorder="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2" fillId="2" borderId="0" xfId="0" applyFont="1" applyFill="1" applyAlignment="1">
      <alignment wrapText="1"/>
    </xf>
    <xf numFmtId="0" fontId="5" fillId="2" borderId="4" xfId="0" applyFont="1" applyFill="1" applyBorder="1" applyAlignment="1">
      <alignment wrapText="1"/>
    </xf>
    <xf numFmtId="0" fontId="2" fillId="0" borderId="0" xfId="0" applyFont="1" applyFill="1" applyAlignment="1">
      <alignment wrapText="1"/>
    </xf>
    <xf numFmtId="0" fontId="4" fillId="0" borderId="0" xfId="0" applyFont="1" applyFill="1" applyAlignment="1">
      <alignment wrapText="1"/>
    </xf>
    <xf numFmtId="0" fontId="1" fillId="0" borderId="0" xfId="0" applyFont="1" applyFill="1" applyAlignment="1">
      <alignment wrapText="1"/>
    </xf>
    <xf numFmtId="0" fontId="6" fillId="3" borderId="0" xfId="0" applyFont="1" applyFill="1"/>
    <xf numFmtId="0" fontId="2" fillId="4" borderId="4" xfId="0" applyFont="1" applyFill="1" applyBorder="1" applyAlignment="1">
      <alignment wrapText="1"/>
    </xf>
    <xf numFmtId="0" fontId="4" fillId="0" borderId="0" xfId="0" applyFont="1" applyAlignment="1">
      <alignment vertical="center"/>
    </xf>
    <xf numFmtId="0" fontId="0" fillId="3" borderId="0" xfId="0" applyFill="1" applyAlignment="1">
      <alignment vertical="center"/>
    </xf>
    <xf numFmtId="0" fontId="7" fillId="0" borderId="0" xfId="0" applyFont="1"/>
    <xf numFmtId="0" fontId="4" fillId="5" borderId="0" xfId="0" applyFont="1" applyFill="1" applyAlignment="1">
      <alignment wrapText="1"/>
    </xf>
    <xf numFmtId="0" fontId="0" fillId="3" borderId="0" xfId="0" applyFill="1"/>
    <xf numFmtId="0" fontId="2" fillId="3" borderId="0" xfId="0" applyFont="1" applyFill="1" applyAlignment="1">
      <alignment wrapText="1"/>
    </xf>
    <xf numFmtId="0" fontId="4" fillId="0" borderId="3" xfId="0" applyFont="1" applyBorder="1" applyAlignment="1">
      <alignment wrapText="1"/>
    </xf>
    <xf numFmtId="0" fontId="2" fillId="3" borderId="3" xfId="0" applyFont="1" applyFill="1" applyBorder="1" applyAlignment="1">
      <alignment wrapText="1"/>
    </xf>
    <xf numFmtId="0" fontId="4" fillId="0" borderId="4" xfId="0" applyFont="1" applyBorder="1" applyAlignment="1">
      <alignment wrapText="1"/>
    </xf>
    <xf numFmtId="0" fontId="2" fillId="0" borderId="0" xfId="0" applyFont="1" applyAlignment="1">
      <alignment horizontal="center" vertical="center" wrapText="1"/>
    </xf>
    <xf numFmtId="0" fontId="4"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right" vertical="center" wrapText="1"/>
    </xf>
    <xf numFmtId="0" fontId="8" fillId="0" borderId="0" xfId="0" applyFont="1" applyAlignment="1">
      <alignment horizontal="center" vertical="center" wrapText="1"/>
    </xf>
    <xf numFmtId="0" fontId="9"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center"/>
    </xf>
    <xf numFmtId="31" fontId="10" fillId="0" borderId="0" xfId="0" applyNumberFormat="1" applyFont="1" applyAlignment="1">
      <alignment horizontal="center" vertical="center"/>
    </xf>
    <xf numFmtId="0" fontId="9" fillId="0" borderId="0" xfId="0" applyFont="1"/>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0" xfId="0" applyFont="1" applyAlignment="1">
      <alignment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3" fillId="0" borderId="3" xfId="0" applyFont="1" applyBorder="1" applyAlignment="1">
      <alignment horizontal="center" vertical="center" wrapText="1"/>
    </xf>
    <xf numFmtId="0" fontId="10" fillId="0" borderId="3" xfId="0" applyFont="1" applyBorder="1" applyAlignment="1">
      <alignment horizontal="left" vertical="center" wrapText="1"/>
    </xf>
    <xf numFmtId="0" fontId="14" fillId="0" borderId="3" xfId="0" applyFont="1" applyBorder="1" applyAlignment="1">
      <alignment horizontal="center" vertical="center" wrapText="1"/>
    </xf>
    <xf numFmtId="0" fontId="12" fillId="0" borderId="3" xfId="0" applyFont="1" applyBorder="1" applyAlignment="1">
      <alignment vertical="center" wrapText="1"/>
    </xf>
    <xf numFmtId="0" fontId="2" fillId="0" borderId="3" xfId="0" applyFont="1" applyBorder="1" applyAlignment="1">
      <alignment horizontal="center" vertical="center" wrapText="1"/>
    </xf>
    <xf numFmtId="0" fontId="14" fillId="0" borderId="3" xfId="0" applyFont="1" applyBorder="1" applyAlignment="1">
      <alignment horizontal="left"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2" fillId="0" borderId="3" xfId="0" applyFont="1" applyBorder="1" applyAlignment="1">
      <alignment horizontal="left" vertical="center" wrapText="1"/>
    </xf>
    <xf numFmtId="0" fontId="15" fillId="0" borderId="3" xfId="0" applyFont="1" applyBorder="1" applyAlignment="1">
      <alignment vertical="center" wrapText="1"/>
    </xf>
    <xf numFmtId="0" fontId="3"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2" xfId="0" applyFont="1" applyBorder="1" applyAlignment="1">
      <alignment wrapText="1"/>
    </xf>
    <xf numFmtId="0" fontId="16" fillId="0" borderId="3" xfId="0" applyFont="1" applyBorder="1" applyAlignment="1">
      <alignment wrapText="1"/>
    </xf>
    <xf numFmtId="0" fontId="16" fillId="0" borderId="3" xfId="0" applyFont="1" applyBorder="1" applyAlignment="1">
      <alignment horizontal="left" vertical="center" wrapText="1"/>
    </xf>
    <xf numFmtId="0" fontId="16" fillId="0" borderId="0" xfId="0" applyFont="1" applyAlignment="1">
      <alignment wrapText="1"/>
    </xf>
    <xf numFmtId="0" fontId="4" fillId="0" borderId="3" xfId="0" applyFont="1" applyBorder="1" applyAlignment="1">
      <alignment horizontal="left" vertical="center" wrapText="1"/>
    </xf>
    <xf numFmtId="0" fontId="4" fillId="0" borderId="3" xfId="0" applyFont="1" applyBorder="1" applyAlignment="1">
      <alignment vertical="center" wrapText="1"/>
    </xf>
    <xf numFmtId="0" fontId="14" fillId="2" borderId="3"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2" fillId="2" borderId="3" xfId="0" applyFont="1" applyFill="1" applyBorder="1" applyAlignment="1">
      <alignment vertical="center" wrapText="1"/>
    </xf>
    <xf numFmtId="0" fontId="14" fillId="2" borderId="4" xfId="0" applyFont="1" applyFill="1" applyBorder="1" applyAlignment="1">
      <alignment wrapText="1"/>
    </xf>
    <xf numFmtId="0" fontId="13" fillId="0" borderId="3" xfId="0" applyFont="1" applyBorder="1" applyAlignment="1">
      <alignment horizontal="left" vertical="center" wrapText="1"/>
    </xf>
    <xf numFmtId="0" fontId="15" fillId="0" borderId="3" xfId="0" applyFont="1" applyBorder="1" applyAlignment="1">
      <alignment horizontal="left" vertical="center" wrapText="1"/>
    </xf>
    <xf numFmtId="0" fontId="14" fillId="0" borderId="0" xfId="0" applyFont="1" applyAlignment="1">
      <alignment wrapText="1"/>
    </xf>
    <xf numFmtId="0" fontId="10" fillId="0" borderId="13" xfId="0" applyFont="1" applyBorder="1" applyAlignment="1">
      <alignment horizontal="left" vertical="center" wrapText="1"/>
    </xf>
    <xf numFmtId="0" fontId="10" fillId="0" borderId="14" xfId="0" applyFont="1" applyBorder="1" applyAlignment="1">
      <alignment horizontal="left" vertical="center" wrapText="1"/>
    </xf>
    <xf numFmtId="0" fontId="10" fillId="0" borderId="12" xfId="0" applyFont="1" applyBorder="1" applyAlignment="1">
      <alignment horizontal="left" vertical="center" wrapText="1"/>
    </xf>
    <xf numFmtId="0" fontId="15" fillId="0" borderId="0" xfId="0" applyFont="1" applyAlignment="1">
      <alignment wrapText="1"/>
    </xf>
    <xf numFmtId="0" fontId="17" fillId="0" borderId="13" xfId="0" applyFont="1" applyBorder="1" applyAlignment="1">
      <alignment horizontal="left" vertical="center" wrapText="1"/>
    </xf>
    <xf numFmtId="0" fontId="17" fillId="0" borderId="14" xfId="0" applyFont="1" applyBorder="1" applyAlignment="1">
      <alignment horizontal="left" vertical="center" wrapText="1"/>
    </xf>
    <xf numFmtId="0" fontId="17" fillId="0" borderId="12" xfId="0" applyFont="1" applyBorder="1" applyAlignment="1">
      <alignment horizontal="left" vertical="center" wrapText="1"/>
    </xf>
    <xf numFmtId="0" fontId="14" fillId="3" borderId="3" xfId="0" applyFont="1" applyFill="1" applyBorder="1" applyAlignment="1">
      <alignment vertical="center"/>
    </xf>
    <xf numFmtId="0" fontId="18" fillId="2" borderId="3" xfId="0" applyFont="1" applyFill="1" applyBorder="1" applyAlignment="1">
      <alignment horizontal="center" vertical="center" wrapText="1"/>
    </xf>
    <xf numFmtId="0" fontId="19" fillId="2" borderId="3" xfId="0" applyFont="1" applyFill="1" applyBorder="1" applyAlignment="1">
      <alignment horizontal="left" vertical="center" wrapText="1"/>
    </xf>
    <xf numFmtId="0" fontId="20" fillId="2" borderId="3"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22" fillId="2" borderId="3" xfId="0" applyFont="1" applyFill="1" applyBorder="1" applyAlignment="1">
      <alignment vertical="center" wrapText="1"/>
    </xf>
    <xf numFmtId="0" fontId="18" fillId="2" borderId="4" xfId="0" applyFont="1" applyFill="1" applyBorder="1" applyAlignment="1">
      <alignment wrapText="1"/>
    </xf>
    <xf numFmtId="0" fontId="14" fillId="0" borderId="3" xfId="0" applyFont="1" applyFill="1" applyBorder="1" applyAlignment="1">
      <alignment horizontal="left" vertical="center" wrapText="1"/>
    </xf>
    <xf numFmtId="0" fontId="14" fillId="0" borderId="3"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3" xfId="0" applyFont="1" applyFill="1" applyBorder="1" applyAlignment="1">
      <alignment horizontal="left" vertical="center" wrapText="1"/>
    </xf>
    <xf numFmtId="0" fontId="12" fillId="0" borderId="0" xfId="0" applyFont="1" applyFill="1" applyAlignment="1">
      <alignment wrapText="1"/>
    </xf>
    <xf numFmtId="0" fontId="13" fillId="0" borderId="3" xfId="0" applyFont="1" applyFill="1" applyBorder="1" applyAlignment="1">
      <alignment horizontal="center" vertical="center" wrapText="1"/>
    </xf>
    <xf numFmtId="0" fontId="10" fillId="0" borderId="3" xfId="0" applyFont="1" applyFill="1" applyBorder="1" applyAlignment="1">
      <alignment horizontal="left" vertical="center" wrapText="1"/>
    </xf>
    <xf numFmtId="0" fontId="12" fillId="0" borderId="3" xfId="0" applyFont="1" applyFill="1" applyBorder="1" applyAlignment="1">
      <alignment vertical="center" wrapText="1"/>
    </xf>
    <xf numFmtId="0" fontId="15" fillId="0" borderId="3" xfId="0" applyFont="1" applyFill="1" applyBorder="1" applyAlignment="1">
      <alignment horizontal="center" vertical="center" wrapText="1"/>
    </xf>
    <xf numFmtId="0" fontId="15" fillId="0" borderId="3" xfId="0" applyFont="1" applyFill="1" applyBorder="1" applyAlignment="1">
      <alignment horizontal="left" vertical="center" wrapText="1"/>
    </xf>
    <xf numFmtId="0" fontId="16" fillId="0" borderId="3" xfId="0" applyFont="1" applyFill="1" applyBorder="1" applyAlignment="1">
      <alignment vertical="center" wrapText="1"/>
    </xf>
    <xf numFmtId="0" fontId="16" fillId="0" borderId="0" xfId="0" applyFont="1" applyFill="1" applyAlignment="1">
      <alignment wrapText="1"/>
    </xf>
    <xf numFmtId="0" fontId="14" fillId="0" borderId="0" xfId="0" applyFont="1" applyFill="1" applyAlignment="1">
      <alignment wrapText="1"/>
    </xf>
    <xf numFmtId="0" fontId="23" fillId="3" borderId="0" xfId="0" applyFont="1" applyFill="1" applyAlignment="1">
      <alignment wrapText="1"/>
    </xf>
    <xf numFmtId="0" fontId="2" fillId="0" borderId="3" xfId="57" applyFont="1" applyBorder="1" applyAlignment="1">
      <alignment horizontal="left" vertical="center" wrapText="1"/>
    </xf>
    <xf numFmtId="0" fontId="14" fillId="0" borderId="3" xfId="57" applyFont="1" applyBorder="1" applyAlignment="1">
      <alignment horizontal="center" vertical="center" wrapText="1"/>
    </xf>
    <xf numFmtId="0" fontId="2" fillId="0" borderId="3" xfId="57" applyFont="1" applyBorder="1" applyAlignment="1">
      <alignment horizontal="center" vertical="center" wrapText="1"/>
    </xf>
    <xf numFmtId="0" fontId="4" fillId="0" borderId="3" xfId="57" applyFont="1" applyBorder="1" applyAlignment="1">
      <alignment vertical="center" wrapText="1"/>
    </xf>
    <xf numFmtId="0" fontId="2" fillId="0" borderId="0" xfId="57" applyFont="1" applyAlignment="1">
      <alignment wrapText="1"/>
    </xf>
    <xf numFmtId="0" fontId="14" fillId="0" borderId="3" xfId="57" applyFont="1" applyBorder="1" applyAlignment="1">
      <alignment horizontal="left" vertical="center" wrapText="1"/>
    </xf>
    <xf numFmtId="0" fontId="12" fillId="0" borderId="3" xfId="57" applyFont="1" applyBorder="1" applyAlignment="1">
      <alignment vertical="center" wrapText="1"/>
    </xf>
    <xf numFmtId="0" fontId="14" fillId="0" borderId="0" xfId="57" applyFont="1" applyAlignment="1">
      <alignment wrapText="1"/>
    </xf>
    <xf numFmtId="0" fontId="14" fillId="4" borderId="3" xfId="0" applyFont="1" applyFill="1" applyBorder="1" applyAlignment="1">
      <alignment horizontal="center" vertical="center" wrapText="1"/>
    </xf>
    <xf numFmtId="0" fontId="13" fillId="4" borderId="3" xfId="0" applyFont="1" applyFill="1" applyBorder="1" applyAlignment="1">
      <alignment horizontal="left" vertical="center" wrapText="1"/>
    </xf>
    <xf numFmtId="0" fontId="12" fillId="4" borderId="3" xfId="0" applyFont="1" applyFill="1" applyBorder="1" applyAlignment="1">
      <alignment vertical="center" wrapText="1"/>
    </xf>
    <xf numFmtId="0" fontId="14" fillId="4" borderId="4" xfId="0" applyFont="1" applyFill="1" applyBorder="1" applyAlignment="1">
      <alignment wrapText="1"/>
    </xf>
    <xf numFmtId="0" fontId="13" fillId="0" borderId="3" xfId="0" applyFont="1" applyFill="1" applyBorder="1" applyAlignment="1">
      <alignment vertical="center" wrapText="1"/>
    </xf>
    <xf numFmtId="0" fontId="13" fillId="0" borderId="3"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15" fillId="0" borderId="3" xfId="0" applyFont="1" applyFill="1" applyBorder="1" applyAlignment="1">
      <alignment vertical="center" wrapText="1"/>
    </xf>
    <xf numFmtId="0" fontId="3" fillId="0" borderId="3" xfId="0" applyFont="1" applyFill="1" applyBorder="1" applyAlignment="1">
      <alignment horizontal="center" vertical="center" wrapText="1"/>
    </xf>
    <xf numFmtId="0" fontId="12" fillId="0" borderId="3" xfId="0" applyFont="1" applyFill="1" applyBorder="1" applyAlignment="1">
      <alignment horizontal="left" vertical="center"/>
    </xf>
    <xf numFmtId="0" fontId="14" fillId="0" borderId="3" xfId="57" applyFont="1" applyFill="1" applyBorder="1" applyAlignment="1">
      <alignment horizontal="center" vertical="center" wrapText="1"/>
    </xf>
    <xf numFmtId="0" fontId="2" fillId="0" borderId="3" xfId="57" applyFont="1" applyFill="1" applyBorder="1" applyAlignment="1">
      <alignment horizontal="center" vertical="center" wrapText="1"/>
    </xf>
    <xf numFmtId="0" fontId="2" fillId="0" borderId="3" xfId="57" applyFont="1" applyFill="1" applyBorder="1" applyAlignment="1">
      <alignment horizontal="center" vertical="center"/>
    </xf>
    <xf numFmtId="0" fontId="4" fillId="0" borderId="3" xfId="57" applyFont="1" applyFill="1" applyBorder="1" applyAlignment="1">
      <alignment vertical="center" wrapText="1"/>
    </xf>
    <xf numFmtId="0" fontId="2" fillId="0" borderId="0" xfId="57" applyFont="1" applyFill="1"/>
    <xf numFmtId="0" fontId="14" fillId="0" borderId="3" xfId="57" applyFont="1" applyFill="1" applyBorder="1" applyAlignment="1">
      <alignment horizontal="left" vertical="center" wrapText="1"/>
    </xf>
    <xf numFmtId="0" fontId="12" fillId="0" borderId="3" xfId="57" applyFont="1" applyFill="1" applyBorder="1" applyAlignment="1">
      <alignment vertical="center" wrapText="1"/>
    </xf>
    <xf numFmtId="0" fontId="12" fillId="0" borderId="0" xfId="57" applyFont="1" applyFill="1" applyAlignment="1">
      <alignment wrapText="1"/>
    </xf>
    <xf numFmtId="0" fontId="13" fillId="0" borderId="13" xfId="0" applyFont="1" applyBorder="1" applyAlignment="1">
      <alignment horizontal="left" vertical="center" wrapText="1"/>
    </xf>
    <xf numFmtId="0" fontId="13" fillId="0" borderId="14" xfId="0" applyFont="1" applyBorder="1" applyAlignment="1">
      <alignment horizontal="left" vertical="center" wrapText="1"/>
    </xf>
    <xf numFmtId="0" fontId="13" fillId="0" borderId="12" xfId="0" applyFont="1" applyBorder="1" applyAlignment="1">
      <alignment horizontal="left" vertical="center" wrapText="1"/>
    </xf>
    <xf numFmtId="0" fontId="24" fillId="0" borderId="3" xfId="0" applyFont="1" applyBorder="1" applyAlignment="1">
      <alignment vertical="center" wrapText="1"/>
    </xf>
    <xf numFmtId="0" fontId="16" fillId="0" borderId="3" xfId="0" applyFont="1" applyBorder="1" applyAlignment="1">
      <alignment horizontal="center" vertical="center" wrapText="1"/>
    </xf>
    <xf numFmtId="0" fontId="14" fillId="3" borderId="3" xfId="0" applyFont="1" applyFill="1" applyBorder="1" applyAlignment="1">
      <alignment horizontal="center" vertical="center"/>
    </xf>
    <xf numFmtId="0" fontId="12" fillId="3" borderId="3" xfId="0" applyFont="1" applyFill="1" applyBorder="1" applyAlignment="1">
      <alignment horizontal="left" vertical="center"/>
    </xf>
    <xf numFmtId="0" fontId="12" fillId="0" borderId="0" xfId="0" applyFont="1" applyAlignment="1">
      <alignment vertical="center"/>
    </xf>
    <xf numFmtId="0" fontId="25" fillId="0" borderId="3" xfId="0" applyFont="1" applyBorder="1" applyAlignment="1">
      <alignment horizontal="center" vertical="center" wrapText="1"/>
    </xf>
    <xf numFmtId="0" fontId="9" fillId="3" borderId="0" xfId="0" applyFont="1" applyFill="1" applyAlignment="1">
      <alignment vertical="center"/>
    </xf>
    <xf numFmtId="0" fontId="26" fillId="3" borderId="3" xfId="0" applyFont="1" applyFill="1" applyBorder="1" applyAlignment="1">
      <alignment horizontal="left" vertical="center" wrapText="1"/>
    </xf>
    <xf numFmtId="0" fontId="27" fillId="3" borderId="3" xfId="0" applyFont="1" applyFill="1" applyBorder="1" applyAlignment="1">
      <alignment horizontal="center" vertical="center" wrapText="1"/>
    </xf>
    <xf numFmtId="0" fontId="26" fillId="3" borderId="3" xfId="0" applyFont="1" applyFill="1" applyBorder="1" applyAlignment="1">
      <alignment horizontal="center" vertical="center" wrapText="1"/>
    </xf>
    <xf numFmtId="0" fontId="14" fillId="5" borderId="3" xfId="0" applyFont="1" applyFill="1" applyBorder="1" applyAlignment="1">
      <alignment horizontal="left" vertical="center" wrapText="1"/>
    </xf>
    <xf numFmtId="0" fontId="2" fillId="5" borderId="3" xfId="0" applyFont="1" applyFill="1" applyBorder="1" applyAlignment="1">
      <alignment horizontal="center" vertical="center" wrapText="1"/>
    </xf>
    <xf numFmtId="0" fontId="2" fillId="5" borderId="3" xfId="0" applyFont="1" applyFill="1" applyBorder="1" applyAlignment="1">
      <alignment horizontal="center" vertical="center"/>
    </xf>
    <xf numFmtId="0" fontId="14" fillId="5" borderId="3" xfId="0" applyFont="1" applyFill="1" applyBorder="1" applyAlignment="1">
      <alignment horizontal="center" vertical="center" wrapText="1"/>
    </xf>
    <xf numFmtId="0" fontId="4" fillId="5" borderId="3" xfId="0" applyFont="1" applyFill="1" applyBorder="1" applyAlignment="1">
      <alignment vertical="center" wrapText="1"/>
    </xf>
    <xf numFmtId="0" fontId="2" fillId="0" borderId="3" xfId="64" applyFont="1" applyBorder="1" applyAlignment="1">
      <alignment horizontal="left" vertical="center" wrapText="1"/>
    </xf>
    <xf numFmtId="0" fontId="2" fillId="0" borderId="3" xfId="64" applyFont="1" applyBorder="1" applyAlignment="1">
      <alignment horizontal="center" vertical="center" wrapText="1"/>
    </xf>
    <xf numFmtId="0" fontId="2" fillId="0" borderId="3" xfId="64" applyFont="1" applyBorder="1" applyAlignment="1">
      <alignment horizontal="center" wrapText="1"/>
    </xf>
    <xf numFmtId="0" fontId="14" fillId="0" borderId="3" xfId="64" applyFont="1" applyBorder="1" applyAlignment="1">
      <alignment horizontal="center" vertical="center" wrapText="1"/>
    </xf>
    <xf numFmtId="0" fontId="4" fillId="0" borderId="3" xfId="64" applyFont="1" applyBorder="1" applyAlignment="1">
      <alignment wrapText="1"/>
    </xf>
    <xf numFmtId="0" fontId="0" fillId="0" borderId="0" xfId="64"/>
    <xf numFmtId="0" fontId="23" fillId="3" borderId="3" xfId="0" applyFont="1" applyFill="1" applyBorder="1" applyAlignment="1">
      <alignment vertical="center"/>
    </xf>
    <xf numFmtId="0" fontId="28" fillId="3" borderId="3" xfId="0" applyFont="1" applyFill="1" applyBorder="1" applyAlignment="1">
      <alignment horizontal="center" vertical="center"/>
    </xf>
    <xf numFmtId="0" fontId="23" fillId="3" borderId="3" xfId="0" applyFont="1" applyFill="1" applyBorder="1" applyAlignment="1">
      <alignment horizontal="left" vertical="center" wrapText="1"/>
    </xf>
    <xf numFmtId="0" fontId="29" fillId="3" borderId="0" xfId="0" applyFont="1" applyFill="1"/>
    <xf numFmtId="177" fontId="14" fillId="0" borderId="3" xfId="0" applyNumberFormat="1" applyFont="1" applyBorder="1" applyAlignment="1">
      <alignment horizontal="center" vertical="center" wrapText="1"/>
    </xf>
    <xf numFmtId="177" fontId="14" fillId="2" borderId="3" xfId="0" applyNumberFormat="1" applyFont="1" applyFill="1" applyBorder="1" applyAlignment="1">
      <alignment horizontal="center" vertical="center" wrapText="1"/>
    </xf>
    <xf numFmtId="0" fontId="14" fillId="2" borderId="3" xfId="0" applyFont="1" applyFill="1" applyBorder="1" applyAlignment="1">
      <alignment vertical="center" wrapText="1"/>
    </xf>
    <xf numFmtId="0" fontId="14" fillId="3" borderId="3" xfId="0" applyFont="1" applyFill="1" applyBorder="1" applyAlignment="1">
      <alignment horizontal="center" vertical="center" wrapText="1"/>
    </xf>
    <xf numFmtId="0" fontId="13" fillId="3" borderId="13" xfId="0" applyFont="1" applyFill="1" applyBorder="1" applyAlignment="1">
      <alignment horizontal="left" vertical="center" wrapText="1"/>
    </xf>
    <xf numFmtId="0" fontId="13" fillId="3" borderId="14" xfId="0" applyFont="1" applyFill="1" applyBorder="1" applyAlignment="1">
      <alignment horizontal="left" vertical="center" wrapText="1"/>
    </xf>
    <xf numFmtId="0" fontId="13" fillId="3" borderId="12" xfId="0" applyFont="1" applyFill="1" applyBorder="1" applyAlignment="1">
      <alignment horizontal="left" vertical="center" wrapText="1"/>
    </xf>
    <xf numFmtId="0" fontId="14" fillId="3" borderId="0" xfId="0" applyFont="1" applyFill="1" applyAlignment="1">
      <alignment wrapText="1"/>
    </xf>
    <xf numFmtId="10" fontId="13" fillId="0" borderId="3" xfId="0" applyNumberFormat="1" applyFont="1" applyBorder="1" applyAlignment="1">
      <alignment horizontal="left" vertical="center" wrapText="1"/>
    </xf>
    <xf numFmtId="10" fontId="14" fillId="0" borderId="3" xfId="0" applyNumberFormat="1" applyFont="1" applyBorder="1" applyAlignment="1">
      <alignment horizontal="center" vertical="center" wrapText="1"/>
    </xf>
    <xf numFmtId="178" fontId="14" fillId="0" borderId="3" xfId="0" applyNumberFormat="1" applyFont="1" applyBorder="1" applyAlignment="1">
      <alignment horizontal="center" vertical="center" wrapText="1"/>
    </xf>
    <xf numFmtId="0" fontId="12" fillId="0" borderId="12" xfId="0" applyFont="1" applyBorder="1" applyAlignment="1">
      <alignment wrapText="1"/>
    </xf>
    <xf numFmtId="0" fontId="12" fillId="0" borderId="3" xfId="0" applyFont="1" applyBorder="1" applyAlignment="1">
      <alignment wrapText="1"/>
    </xf>
    <xf numFmtId="0" fontId="13" fillId="3" borderId="3" xfId="0" applyFont="1" applyFill="1" applyBorder="1" applyAlignment="1">
      <alignment horizontal="left" vertical="center" wrapText="1"/>
    </xf>
    <xf numFmtId="178" fontId="13" fillId="3" borderId="3" xfId="0" applyNumberFormat="1" applyFont="1" applyFill="1" applyBorder="1" applyAlignment="1">
      <alignment horizontal="center" vertical="center" wrapText="1"/>
    </xf>
    <xf numFmtId="177" fontId="13" fillId="3" borderId="3" xfId="0" applyNumberFormat="1" applyFont="1" applyFill="1" applyBorder="1" applyAlignment="1">
      <alignment horizontal="center" vertical="center" wrapText="1"/>
    </xf>
    <xf numFmtId="178" fontId="14" fillId="3" borderId="3" xfId="0" applyNumberFormat="1" applyFont="1" applyFill="1" applyBorder="1" applyAlignment="1">
      <alignment vertical="center" wrapText="1"/>
    </xf>
    <xf numFmtId="0" fontId="14" fillId="3" borderId="12" xfId="0" applyFont="1" applyFill="1" applyBorder="1" applyAlignment="1">
      <alignment wrapText="1"/>
    </xf>
    <xf numFmtId="0" fontId="14" fillId="3" borderId="3" xfId="0" applyFont="1" applyFill="1" applyBorder="1" applyAlignment="1">
      <alignment wrapText="1"/>
    </xf>
    <xf numFmtId="0" fontId="14" fillId="0" borderId="13" xfId="0" applyFont="1" applyBorder="1" applyAlignment="1">
      <alignment horizontal="left" vertical="center" wrapText="1"/>
    </xf>
    <xf numFmtId="0" fontId="0" fillId="0" borderId="14" xfId="0" applyBorder="1" applyAlignment="1">
      <alignment vertical="center" wrapText="1"/>
    </xf>
    <xf numFmtId="0" fontId="0" fillId="0" borderId="3" xfId="0" applyBorder="1" applyAlignment="1">
      <alignment vertical="center" wrapText="1"/>
    </xf>
    <xf numFmtId="178" fontId="12" fillId="3" borderId="3" xfId="0" applyNumberFormat="1" applyFont="1" applyFill="1" applyBorder="1" applyAlignment="1">
      <alignment vertical="center" wrapText="1"/>
    </xf>
    <xf numFmtId="0" fontId="30" fillId="0" borderId="3" xfId="0" applyFont="1" applyBorder="1" applyAlignment="1">
      <alignment vertical="center" wrapText="1"/>
    </xf>
    <xf numFmtId="0" fontId="12" fillId="3" borderId="3" xfId="0" applyFont="1" applyFill="1" applyBorder="1" applyAlignment="1">
      <alignment vertical="center" wrapText="1"/>
    </xf>
    <xf numFmtId="0" fontId="30" fillId="0" borderId="3" xfId="0" applyFont="1" applyBorder="1" applyAlignment="1">
      <alignment horizontal="left" vertical="center" wrapText="1"/>
    </xf>
    <xf numFmtId="0" fontId="24" fillId="0" borderId="3" xfId="0" applyFont="1" applyBorder="1" applyAlignment="1">
      <alignment horizontal="left" vertical="center" wrapText="1"/>
    </xf>
    <xf numFmtId="0" fontId="26" fillId="3" borderId="3" xfId="0" applyFont="1" applyFill="1" applyBorder="1" applyAlignment="1">
      <alignment vertical="center" wrapText="1"/>
    </xf>
    <xf numFmtId="0" fontId="2" fillId="3" borderId="3" xfId="0" applyFont="1" applyFill="1" applyBorder="1"/>
    <xf numFmtId="0" fontId="4" fillId="3" borderId="3" xfId="0" applyFont="1" applyFill="1" applyBorder="1" applyAlignment="1">
      <alignment horizontal="center" vertical="center"/>
    </xf>
    <xf numFmtId="0" fontId="4" fillId="3" borderId="3" xfId="0" applyFont="1" applyFill="1" applyBorder="1"/>
    <xf numFmtId="0" fontId="27" fillId="3" borderId="3" xfId="0" applyFont="1" applyFill="1" applyBorder="1" applyAlignment="1">
      <alignment horizontal="left" vertical="center" wrapText="1"/>
    </xf>
    <xf numFmtId="0" fontId="9" fillId="0" borderId="3" xfId="0" applyFont="1" applyBorder="1" applyAlignment="1">
      <alignment horizontal="center" vertical="center" wrapText="1"/>
    </xf>
    <xf numFmtId="0" fontId="14" fillId="0" borderId="3" xfId="0" applyFont="1" applyBorder="1" applyAlignment="1">
      <alignmen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2" fillId="0" borderId="4" xfId="0" applyFont="1" applyBorder="1" applyAlignment="1">
      <alignment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_设备明细表" xfId="52"/>
    <cellStyle name="千位[0]_设备明细表" xfId="53"/>
    <cellStyle name="千分位[0]_广州平安证券" xfId="54"/>
    <cellStyle name="??|?Revenuenuesy L 2" xfId="55"/>
    <cellStyle name="??|?Revenuenuesy L 3" xfId="56"/>
    <cellStyle name="常规 2" xfId="57"/>
    <cellStyle name="??|?Revenuenuesy L 4" xfId="58"/>
    <cellStyle name="常规 3"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95250</xdr:rowOff>
    </xdr:from>
    <xdr:to>
      <xdr:col>3</xdr:col>
      <xdr:colOff>68580</xdr:colOff>
      <xdr:row>0</xdr:row>
      <xdr:rowOff>504825</xdr:rowOff>
    </xdr:to>
    <xdr:pic>
      <xdr:nvPicPr>
        <xdr:cNvPr id="8198" name="Picture 1026" descr="201207061458410"/>
        <xdr:cNvPicPr>
          <a:picLocks noChangeAspect="1" noChangeArrowheads="1"/>
        </xdr:cNvPicPr>
      </xdr:nvPicPr>
      <xdr:blipFill>
        <a:blip r:embed="rId1" cstate="print">
          <a:lum bright="2000" contrast="2000"/>
        </a:blip>
        <a:srcRect/>
        <a:stretch>
          <a:fillRect/>
        </a:stretch>
      </xdr:blipFill>
      <xdr:spPr>
        <a:xfrm>
          <a:off x="57150" y="95250"/>
          <a:ext cx="2222500" cy="409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M353"/>
  <sheetViews>
    <sheetView tabSelected="1" zoomScale="130" zoomScaleNormal="130" workbookViewId="0">
      <selection activeCell="I10" sqref="I10"/>
    </sheetView>
  </sheetViews>
  <sheetFormatPr defaultColWidth="9" defaultRowHeight="21" customHeight="1"/>
  <cols>
    <col min="1" max="1" width="4.08333333333333" style="26" customWidth="1"/>
    <col min="2" max="2" width="19.35" style="27" customWidth="1"/>
    <col min="3" max="3" width="5.58333333333333" style="28" customWidth="1"/>
    <col min="4" max="4" width="4.08333333333333" style="28" customWidth="1"/>
    <col min="5" max="5" width="6.25" style="28" customWidth="1"/>
    <col min="6" max="6" width="7.75" style="29" customWidth="1"/>
    <col min="7" max="7" width="6.25" style="28" customWidth="1"/>
    <col min="8" max="8" width="9.08333333333333" style="29" customWidth="1"/>
    <col min="9" max="9" width="74.5" style="9" customWidth="1"/>
    <col min="10" max="16384" width="9" style="9"/>
  </cols>
  <sheetData>
    <row r="1" s="1" customFormat="1" ht="44.25" customHeight="1" spans="1:169">
      <c r="A1" s="30" t="s">
        <v>0</v>
      </c>
      <c r="B1" s="30"/>
      <c r="C1" s="30"/>
      <c r="D1" s="30"/>
      <c r="E1" s="30"/>
      <c r="F1" s="30"/>
      <c r="G1" s="30"/>
      <c r="H1" s="30"/>
      <c r="I1" s="30"/>
      <c r="J1" s="31"/>
      <c r="K1" s="31"/>
      <c r="L1" s="31"/>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row>
    <row r="2" s="2" customFormat="1" ht="17.15" customHeight="1" spans="1:169">
      <c r="A2" s="33" t="s">
        <v>1</v>
      </c>
      <c r="B2" s="34"/>
      <c r="C2" s="34"/>
      <c r="D2" s="34"/>
      <c r="E2" s="34"/>
      <c r="F2" s="34"/>
      <c r="G2" s="34"/>
      <c r="H2" s="34"/>
      <c r="I2" s="35">
        <v>46207</v>
      </c>
      <c r="J2" s="36"/>
      <c r="K2" s="36"/>
      <c r="L2" s="36"/>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row>
    <row r="3" s="3" customFormat="1" ht="17.15" customHeight="1" spans="1:169">
      <c r="A3" s="34" t="s">
        <v>2</v>
      </c>
      <c r="B3" s="34"/>
      <c r="C3" s="34"/>
      <c r="D3" s="34"/>
      <c r="E3" s="34"/>
      <c r="F3" s="34"/>
      <c r="G3" s="34"/>
      <c r="H3" s="34"/>
      <c r="I3" s="34"/>
      <c r="J3" s="34"/>
      <c r="K3" s="34"/>
      <c r="L3" s="36"/>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row>
    <row r="4" ht="9.75" customHeight="1" spans="1:169">
      <c r="A4" s="37" t="s">
        <v>3</v>
      </c>
      <c r="B4" s="37" t="s">
        <v>4</v>
      </c>
      <c r="C4" s="37" t="s">
        <v>5</v>
      </c>
      <c r="D4" s="37" t="s">
        <v>6</v>
      </c>
      <c r="E4" s="38" t="s">
        <v>7</v>
      </c>
      <c r="F4" s="39"/>
      <c r="G4" s="38" t="s">
        <v>8</v>
      </c>
      <c r="H4" s="39"/>
      <c r="I4" s="37" t="s">
        <v>9</v>
      </c>
      <c r="J4" s="40"/>
      <c r="K4" s="40"/>
      <c r="L4" s="40"/>
    </row>
    <row r="5" ht="9.75" customHeight="1" spans="1:169">
      <c r="A5" s="41"/>
      <c r="B5" s="41"/>
      <c r="C5" s="41"/>
      <c r="D5" s="41"/>
      <c r="E5" s="42"/>
      <c r="F5" s="43"/>
      <c r="G5" s="42"/>
      <c r="H5" s="43"/>
      <c r="I5" s="41"/>
      <c r="J5" s="40"/>
      <c r="K5" s="40"/>
      <c r="L5" s="40"/>
    </row>
    <row r="6" ht="8.25" customHeight="1" spans="1:169">
      <c r="A6" s="41"/>
      <c r="B6" s="41"/>
      <c r="C6" s="41"/>
      <c r="D6" s="41"/>
      <c r="E6" s="37" t="s">
        <v>10</v>
      </c>
      <c r="F6" s="37" t="s">
        <v>11</v>
      </c>
      <c r="G6" s="37" t="s">
        <v>10</v>
      </c>
      <c r="H6" s="37" t="s">
        <v>11</v>
      </c>
      <c r="I6" s="41"/>
      <c r="J6" s="40"/>
      <c r="K6" s="40"/>
      <c r="L6" s="40"/>
    </row>
    <row r="7" ht="8.25" customHeight="1" spans="1:169">
      <c r="A7" s="44"/>
      <c r="B7" s="44"/>
      <c r="C7" s="44"/>
      <c r="D7" s="44"/>
      <c r="E7" s="44"/>
      <c r="F7" s="44"/>
      <c r="G7" s="44"/>
      <c r="H7" s="44"/>
      <c r="I7" s="44"/>
      <c r="J7" s="40"/>
      <c r="K7" s="40"/>
      <c r="L7" s="40"/>
    </row>
    <row r="8" ht="16.5" customHeight="1" spans="1:169">
      <c r="A8" s="45" t="s">
        <v>12</v>
      </c>
      <c r="B8" s="46" t="s">
        <v>13</v>
      </c>
      <c r="C8" s="46"/>
      <c r="D8" s="46"/>
      <c r="E8" s="46"/>
      <c r="F8" s="47"/>
      <c r="G8" s="47"/>
      <c r="H8" s="47"/>
      <c r="I8" s="48"/>
      <c r="J8" s="40"/>
      <c r="K8" s="40"/>
      <c r="L8" s="40"/>
    </row>
    <row r="9" ht="15" customHeight="1" spans="1:169">
      <c r="A9" s="49">
        <v>1</v>
      </c>
      <c r="B9" s="50" t="s">
        <v>14</v>
      </c>
      <c r="C9" s="47"/>
      <c r="D9" s="47" t="s">
        <v>15</v>
      </c>
      <c r="E9" s="47">
        <v>70</v>
      </c>
      <c r="F9" s="47">
        <f>C9*E9</f>
        <v>0</v>
      </c>
      <c r="G9" s="51">
        <v>25</v>
      </c>
      <c r="H9" s="47">
        <f t="shared" ref="H9:H11" si="0">SUM(G9*C9)</f>
        <v>0</v>
      </c>
      <c r="I9" s="52" t="s">
        <v>16</v>
      </c>
      <c r="J9" s="40"/>
      <c r="K9" s="40"/>
      <c r="L9" s="40"/>
    </row>
    <row r="10" ht="17" customHeight="1" spans="1:169">
      <c r="A10" s="49">
        <v>2</v>
      </c>
      <c r="B10" s="53" t="s">
        <v>17</v>
      </c>
      <c r="C10" s="49"/>
      <c r="D10" s="47" t="s">
        <v>18</v>
      </c>
      <c r="E10" s="49">
        <v>95</v>
      </c>
      <c r="F10" s="47">
        <f>C10*E10</f>
        <v>0</v>
      </c>
      <c r="G10" s="49">
        <v>55</v>
      </c>
      <c r="H10" s="47">
        <f t="shared" si="0"/>
        <v>0</v>
      </c>
      <c r="I10" s="48" t="s">
        <v>19</v>
      </c>
    </row>
    <row r="11" s="4" customFormat="1" ht="26.25" customHeight="1" spans="1:169">
      <c r="A11" s="49">
        <v>3</v>
      </c>
      <c r="B11" s="54" t="s">
        <v>20</v>
      </c>
      <c r="C11" s="55"/>
      <c r="D11" s="56" t="s">
        <v>21</v>
      </c>
      <c r="E11" s="56">
        <v>125</v>
      </c>
      <c r="F11" s="56">
        <f>C11*E11</f>
        <v>0</v>
      </c>
      <c r="G11" s="56">
        <v>65</v>
      </c>
      <c r="H11" s="56">
        <f t="shared" si="0"/>
        <v>0</v>
      </c>
      <c r="I11" s="57" t="s">
        <v>22</v>
      </c>
      <c r="J11" s="58"/>
      <c r="K11" s="59"/>
      <c r="L11" s="59" t="s">
        <v>23</v>
      </c>
    </row>
    <row r="12" ht="16.5" customHeight="1" spans="1:169">
      <c r="A12" s="49">
        <v>4</v>
      </c>
      <c r="B12" s="50" t="s">
        <v>24</v>
      </c>
      <c r="C12" s="47"/>
      <c r="D12" s="47" t="s">
        <v>25</v>
      </c>
      <c r="E12" s="47">
        <v>38</v>
      </c>
      <c r="F12" s="47">
        <f>C12*E12</f>
        <v>0</v>
      </c>
      <c r="G12" s="47">
        <v>22</v>
      </c>
      <c r="H12" s="47">
        <f>C12*G12</f>
        <v>0</v>
      </c>
      <c r="I12" s="48" t="s">
        <v>26</v>
      </c>
      <c r="J12" s="40"/>
      <c r="K12" s="40"/>
      <c r="L12" s="40"/>
    </row>
    <row r="13" s="5" customFormat="1" ht="25" customHeight="1" spans="1:169">
      <c r="A13" s="49">
        <v>5</v>
      </c>
      <c r="B13" s="60" t="s">
        <v>27</v>
      </c>
      <c r="C13" s="56"/>
      <c r="D13" s="56" t="s">
        <v>21</v>
      </c>
      <c r="E13" s="56">
        <v>28</v>
      </c>
      <c r="F13" s="56">
        <f t="shared" ref="F13:F21" si="1">C13*E13</f>
        <v>0</v>
      </c>
      <c r="G13" s="56">
        <v>32</v>
      </c>
      <c r="H13" s="56">
        <f>C13*G13</f>
        <v>0</v>
      </c>
      <c r="I13" s="57" t="s">
        <v>28</v>
      </c>
      <c r="J13" s="61"/>
      <c r="K13" s="61"/>
      <c r="L13" s="61"/>
    </row>
    <row r="14" ht="16.5" customHeight="1" spans="1:169">
      <c r="A14" s="49">
        <v>6</v>
      </c>
      <c r="B14" s="50" t="s">
        <v>29</v>
      </c>
      <c r="C14" s="47"/>
      <c r="D14" s="47" t="s">
        <v>18</v>
      </c>
      <c r="E14" s="47">
        <v>0</v>
      </c>
      <c r="F14" s="47">
        <f t="shared" si="1"/>
        <v>0</v>
      </c>
      <c r="G14" s="47">
        <v>2.5</v>
      </c>
      <c r="H14" s="47">
        <f>SUM(G14*C14)</f>
        <v>0</v>
      </c>
      <c r="I14" s="48" t="s">
        <v>30</v>
      </c>
      <c r="J14" s="40"/>
      <c r="K14" s="40"/>
      <c r="L14" s="40"/>
    </row>
    <row r="15" ht="16.5" customHeight="1" spans="1:169">
      <c r="A15" s="49">
        <v>7</v>
      </c>
      <c r="B15" s="62" t="s">
        <v>31</v>
      </c>
      <c r="C15" s="49"/>
      <c r="D15" s="49" t="s">
        <v>32</v>
      </c>
      <c r="E15" s="49">
        <v>135</v>
      </c>
      <c r="F15" s="47">
        <f t="shared" si="1"/>
        <v>0</v>
      </c>
      <c r="G15" s="49">
        <v>95</v>
      </c>
      <c r="H15" s="47">
        <f>SUM(G15*C15)</f>
        <v>0</v>
      </c>
      <c r="I15" s="63" t="s">
        <v>33</v>
      </c>
    </row>
    <row r="16" ht="16.5" customHeight="1" spans="1:169">
      <c r="A16" s="49">
        <v>8</v>
      </c>
      <c r="B16" s="50" t="s">
        <v>34</v>
      </c>
      <c r="C16" s="47"/>
      <c r="D16" s="49" t="s">
        <v>32</v>
      </c>
      <c r="E16" s="47">
        <v>2</v>
      </c>
      <c r="F16" s="47">
        <f t="shared" si="1"/>
        <v>0</v>
      </c>
      <c r="G16" s="47">
        <v>4</v>
      </c>
      <c r="H16" s="47">
        <f t="shared" ref="H16:H21" si="2">SUM(G16*C16)</f>
        <v>0</v>
      </c>
      <c r="I16" s="48" t="s">
        <v>35</v>
      </c>
      <c r="J16" s="40"/>
      <c r="K16" s="40"/>
      <c r="L16" s="40"/>
    </row>
    <row r="17" ht="27" customHeight="1" spans="1:12">
      <c r="A17" s="49">
        <v>9</v>
      </c>
      <c r="B17" s="50" t="s">
        <v>36</v>
      </c>
      <c r="C17" s="47"/>
      <c r="D17" s="47" t="s">
        <v>18</v>
      </c>
      <c r="E17" s="47">
        <v>19</v>
      </c>
      <c r="F17" s="47">
        <f t="shared" si="1"/>
        <v>0</v>
      </c>
      <c r="G17" s="47">
        <v>13</v>
      </c>
      <c r="H17" s="47">
        <f t="shared" si="2"/>
        <v>0</v>
      </c>
      <c r="I17" s="48" t="s">
        <v>37</v>
      </c>
      <c r="J17" s="40"/>
      <c r="K17" s="40"/>
      <c r="L17" s="40"/>
    </row>
    <row r="18" ht="27" customHeight="1" spans="1:12">
      <c r="A18" s="49">
        <v>10</v>
      </c>
      <c r="B18" s="50" t="s">
        <v>38</v>
      </c>
      <c r="C18" s="47"/>
      <c r="D18" s="47" t="s">
        <v>18</v>
      </c>
      <c r="E18" s="47">
        <v>12</v>
      </c>
      <c r="F18" s="47">
        <f t="shared" si="1"/>
        <v>0</v>
      </c>
      <c r="G18" s="47">
        <v>7</v>
      </c>
      <c r="H18" s="47">
        <f t="shared" si="2"/>
        <v>0</v>
      </c>
      <c r="I18" s="48" t="s">
        <v>39</v>
      </c>
      <c r="J18" s="40"/>
      <c r="K18" s="40"/>
      <c r="L18" s="40"/>
    </row>
    <row r="19" ht="17.15" customHeight="1" spans="1:12">
      <c r="A19" s="49">
        <v>11</v>
      </c>
      <c r="B19" s="50" t="s">
        <v>40</v>
      </c>
      <c r="C19" s="47"/>
      <c r="D19" s="47" t="s">
        <v>41</v>
      </c>
      <c r="E19" s="47">
        <v>160</v>
      </c>
      <c r="F19" s="47">
        <f t="shared" si="1"/>
        <v>0</v>
      </c>
      <c r="G19" s="47">
        <v>360</v>
      </c>
      <c r="H19" s="47">
        <f t="shared" si="2"/>
        <v>0</v>
      </c>
      <c r="I19" s="48" t="s">
        <v>42</v>
      </c>
      <c r="J19" s="40"/>
      <c r="K19" s="40"/>
      <c r="L19" s="40"/>
    </row>
    <row r="20" ht="15" customHeight="1" spans="1:12">
      <c r="A20" s="49">
        <v>12</v>
      </c>
      <c r="B20" s="50" t="s">
        <v>43</v>
      </c>
      <c r="C20" s="47"/>
      <c r="D20" s="47" t="s">
        <v>18</v>
      </c>
      <c r="E20" s="47">
        <v>25</v>
      </c>
      <c r="F20" s="47">
        <f t="shared" si="1"/>
        <v>0</v>
      </c>
      <c r="G20" s="47">
        <v>10</v>
      </c>
      <c r="H20" s="47">
        <f t="shared" si="2"/>
        <v>0</v>
      </c>
      <c r="I20" s="48" t="s">
        <v>44</v>
      </c>
      <c r="J20" s="40"/>
      <c r="K20" s="40"/>
      <c r="L20" s="40"/>
    </row>
    <row r="21" ht="15" customHeight="1" spans="1:12">
      <c r="A21" s="49">
        <v>13</v>
      </c>
      <c r="B21" s="50" t="s">
        <v>45</v>
      </c>
      <c r="C21" s="47"/>
      <c r="D21" s="47" t="s">
        <v>18</v>
      </c>
      <c r="E21" s="47">
        <v>12</v>
      </c>
      <c r="F21" s="47">
        <f t="shared" si="1"/>
        <v>0</v>
      </c>
      <c r="G21" s="47">
        <v>5</v>
      </c>
      <c r="H21" s="47">
        <f t="shared" si="2"/>
        <v>0</v>
      </c>
      <c r="I21" s="48" t="s">
        <v>46</v>
      </c>
      <c r="J21" s="40"/>
      <c r="K21" s="40"/>
      <c r="L21" s="40"/>
    </row>
    <row r="22" s="6" customFormat="1" ht="18" customHeight="1" spans="1:12">
      <c r="A22" s="64"/>
      <c r="B22" s="65" t="s">
        <v>47</v>
      </c>
      <c r="C22" s="64"/>
      <c r="D22" s="64"/>
      <c r="E22" s="64"/>
      <c r="F22" s="64">
        <f>SUM(F9:F21)</f>
        <v>0</v>
      </c>
      <c r="G22" s="64"/>
      <c r="H22" s="64">
        <f>SUM(H9:H21)</f>
        <v>0</v>
      </c>
      <c r="I22" s="66"/>
      <c r="J22" s="67"/>
      <c r="K22" s="67"/>
      <c r="L22" s="67"/>
    </row>
    <row r="23" ht="17.25" customHeight="1" spans="1:12">
      <c r="A23" s="47" t="s">
        <v>48</v>
      </c>
      <c r="B23" s="68" t="s">
        <v>49</v>
      </c>
      <c r="C23" s="47"/>
      <c r="D23" s="47"/>
      <c r="E23" s="47"/>
      <c r="F23" s="47"/>
      <c r="G23" s="47"/>
      <c r="H23" s="47"/>
      <c r="I23" s="48"/>
      <c r="J23" s="40"/>
      <c r="K23" s="40"/>
      <c r="L23" s="40"/>
    </row>
    <row r="24" s="5" customFormat="1" ht="27" customHeight="1" spans="1:12">
      <c r="A24" s="56">
        <v>1</v>
      </c>
      <c r="B24" s="69" t="s">
        <v>50</v>
      </c>
      <c r="C24" s="56"/>
      <c r="D24" s="56" t="s">
        <v>21</v>
      </c>
      <c r="E24" s="56">
        <v>28</v>
      </c>
      <c r="F24" s="56">
        <f t="shared" ref="F23:F32" si="3">C24*E24</f>
        <v>0</v>
      </c>
      <c r="G24" s="56">
        <v>32</v>
      </c>
      <c r="H24" s="56">
        <f t="shared" ref="H23:H32" si="4">SUM(G24*C24)</f>
        <v>0</v>
      </c>
      <c r="I24" s="57" t="s">
        <v>28</v>
      </c>
      <c r="J24" s="61"/>
      <c r="K24" s="61"/>
      <c r="L24" s="61"/>
    </row>
    <row r="25" s="5" customFormat="1" ht="14.25" customHeight="1" spans="1:12">
      <c r="A25" s="56">
        <v>2</v>
      </c>
      <c r="B25" s="69" t="s">
        <v>51</v>
      </c>
      <c r="C25" s="56"/>
      <c r="D25" s="56" t="s">
        <v>21</v>
      </c>
      <c r="E25" s="56">
        <v>28</v>
      </c>
      <c r="F25" s="56">
        <f t="shared" si="3"/>
        <v>0</v>
      </c>
      <c r="G25" s="56">
        <v>40</v>
      </c>
      <c r="H25" s="56">
        <f t="shared" si="4"/>
        <v>0</v>
      </c>
      <c r="I25" s="57" t="s">
        <v>52</v>
      </c>
      <c r="J25" s="61"/>
      <c r="K25" s="61"/>
      <c r="L25" s="61"/>
    </row>
    <row r="26" ht="16" customHeight="1" spans="1:12">
      <c r="A26" s="56">
        <v>3</v>
      </c>
      <c r="B26" s="52" t="s">
        <v>53</v>
      </c>
      <c r="C26" s="47"/>
      <c r="D26" s="47" t="s">
        <v>18</v>
      </c>
      <c r="E26" s="47">
        <v>0</v>
      </c>
      <c r="F26" s="47">
        <f t="shared" si="3"/>
        <v>0</v>
      </c>
      <c r="G26" s="47">
        <v>9</v>
      </c>
      <c r="H26" s="47">
        <f t="shared" si="4"/>
        <v>0</v>
      </c>
      <c r="I26" s="48" t="s">
        <v>54</v>
      </c>
      <c r="J26" s="40"/>
      <c r="K26" s="40"/>
      <c r="L26" s="40"/>
    </row>
    <row r="27" s="7" customFormat="1" ht="14.25" customHeight="1" spans="1:12">
      <c r="A27" s="56">
        <v>4</v>
      </c>
      <c r="B27" s="69" t="s">
        <v>55</v>
      </c>
      <c r="C27" s="47"/>
      <c r="D27" s="47" t="s">
        <v>15</v>
      </c>
      <c r="E27" s="47">
        <v>8</v>
      </c>
      <c r="F27" s="47">
        <f t="shared" si="3"/>
        <v>0</v>
      </c>
      <c r="G27" s="47">
        <v>20</v>
      </c>
      <c r="H27" s="47">
        <f t="shared" si="4"/>
        <v>0</v>
      </c>
      <c r="I27" s="48" t="s">
        <v>56</v>
      </c>
      <c r="J27" s="70"/>
      <c r="K27" s="70"/>
      <c r="L27" s="70"/>
    </row>
    <row r="28" ht="14" customHeight="1" spans="1:12">
      <c r="A28" s="56">
        <v>5</v>
      </c>
      <c r="B28" s="50" t="s">
        <v>29</v>
      </c>
      <c r="C28" s="47"/>
      <c r="D28" s="47" t="s">
        <v>18</v>
      </c>
      <c r="E28" s="47"/>
      <c r="F28" s="47">
        <f t="shared" si="3"/>
        <v>0</v>
      </c>
      <c r="G28" s="47">
        <v>2.5</v>
      </c>
      <c r="H28" s="47">
        <f t="shared" si="4"/>
        <v>0</v>
      </c>
      <c r="I28" s="48" t="s">
        <v>57</v>
      </c>
      <c r="J28" s="40"/>
      <c r="K28" s="40"/>
      <c r="L28" s="40"/>
    </row>
    <row r="29" ht="15" customHeight="1" spans="1:12">
      <c r="A29" s="56">
        <v>6</v>
      </c>
      <c r="B29" s="50" t="s">
        <v>58</v>
      </c>
      <c r="C29" s="47"/>
      <c r="D29" s="47" t="s">
        <v>18</v>
      </c>
      <c r="E29" s="47">
        <v>45</v>
      </c>
      <c r="F29" s="47">
        <f t="shared" si="3"/>
        <v>0</v>
      </c>
      <c r="G29" s="47">
        <v>20</v>
      </c>
      <c r="H29" s="47">
        <f t="shared" si="4"/>
        <v>0</v>
      </c>
      <c r="I29" s="48" t="s">
        <v>59</v>
      </c>
      <c r="J29" s="40"/>
      <c r="K29" s="40"/>
      <c r="L29" s="40"/>
    </row>
    <row r="30" ht="14.25" customHeight="1" spans="1:12">
      <c r="A30" s="56">
        <v>7</v>
      </c>
      <c r="B30" s="50" t="s">
        <v>60</v>
      </c>
      <c r="C30" s="47"/>
      <c r="D30" s="47" t="s">
        <v>18</v>
      </c>
      <c r="E30" s="47">
        <v>22</v>
      </c>
      <c r="F30" s="47">
        <f t="shared" si="3"/>
        <v>0</v>
      </c>
      <c r="G30" s="47">
        <v>12</v>
      </c>
      <c r="H30" s="47">
        <f t="shared" si="4"/>
        <v>0</v>
      </c>
      <c r="I30" s="48" t="s">
        <v>61</v>
      </c>
      <c r="J30" s="40"/>
      <c r="K30" s="40"/>
      <c r="L30" s="40"/>
    </row>
    <row r="31" ht="15" customHeight="1" spans="1:12">
      <c r="A31" s="56">
        <v>8</v>
      </c>
      <c r="B31" s="50" t="s">
        <v>62</v>
      </c>
      <c r="C31" s="47"/>
      <c r="D31" s="47" t="s">
        <v>18</v>
      </c>
      <c r="E31" s="47">
        <v>45</v>
      </c>
      <c r="F31" s="47">
        <f t="shared" si="3"/>
        <v>0</v>
      </c>
      <c r="G31" s="47">
        <v>20</v>
      </c>
      <c r="H31" s="47">
        <f t="shared" si="4"/>
        <v>0</v>
      </c>
      <c r="I31" s="48" t="s">
        <v>63</v>
      </c>
      <c r="J31" s="40"/>
      <c r="K31" s="40"/>
      <c r="L31" s="40"/>
    </row>
    <row r="32" ht="15" customHeight="1" spans="1:12">
      <c r="A32" s="56">
        <v>9</v>
      </c>
      <c r="B32" s="50" t="s">
        <v>45</v>
      </c>
      <c r="C32" s="47"/>
      <c r="D32" s="47" t="s">
        <v>18</v>
      </c>
      <c r="E32" s="47">
        <v>12</v>
      </c>
      <c r="F32" s="47">
        <f t="shared" si="3"/>
        <v>0</v>
      </c>
      <c r="G32" s="47">
        <v>5</v>
      </c>
      <c r="H32" s="47">
        <f t="shared" si="4"/>
        <v>0</v>
      </c>
      <c r="I32" s="48" t="s">
        <v>46</v>
      </c>
      <c r="J32" s="40"/>
      <c r="K32" s="40"/>
      <c r="L32" s="40"/>
    </row>
    <row r="33" s="6" customFormat="1" ht="18" customHeight="1" spans="1:12">
      <c r="A33" s="64"/>
      <c r="B33" s="65" t="s">
        <v>47</v>
      </c>
      <c r="C33" s="64"/>
      <c r="D33" s="64"/>
      <c r="E33" s="64"/>
      <c r="F33" s="64">
        <f>SUM(F24:F32)</f>
        <v>0</v>
      </c>
      <c r="G33" s="64"/>
      <c r="H33" s="64">
        <f>SUM(H24:H32)</f>
        <v>0</v>
      </c>
      <c r="I33" s="66"/>
      <c r="J33" s="67"/>
      <c r="K33" s="67"/>
      <c r="L33" s="67"/>
    </row>
    <row r="34" ht="18.75" customHeight="1" spans="1:12">
      <c r="A34" s="45" t="s">
        <v>64</v>
      </c>
      <c r="B34" s="71" t="s">
        <v>65</v>
      </c>
      <c r="C34" s="72"/>
      <c r="D34" s="72"/>
      <c r="E34" s="73"/>
      <c r="F34" s="47"/>
      <c r="G34" s="47"/>
      <c r="H34" s="47"/>
      <c r="I34" s="48"/>
      <c r="J34" s="40"/>
      <c r="K34" s="40"/>
      <c r="L34" s="40"/>
    </row>
    <row r="35" s="5" customFormat="1" ht="32" customHeight="1" spans="1:12">
      <c r="A35" s="56">
        <v>1</v>
      </c>
      <c r="B35" s="69" t="s">
        <v>50</v>
      </c>
      <c r="C35" s="56"/>
      <c r="D35" s="56" t="s">
        <v>21</v>
      </c>
      <c r="E35" s="56">
        <v>28</v>
      </c>
      <c r="F35" s="56">
        <f>C35*E35</f>
        <v>0</v>
      </c>
      <c r="G35" s="56">
        <v>32</v>
      </c>
      <c r="H35" s="56">
        <f>SUM(G35*C35)</f>
        <v>0</v>
      </c>
      <c r="I35" s="57" t="s">
        <v>28</v>
      </c>
      <c r="J35" s="61"/>
      <c r="K35" s="61"/>
      <c r="L35" s="61"/>
    </row>
    <row r="36" s="5" customFormat="1" ht="15" customHeight="1" spans="1:12">
      <c r="A36" s="56">
        <v>2</v>
      </c>
      <c r="B36" s="50" t="s">
        <v>14</v>
      </c>
      <c r="C36" s="47"/>
      <c r="D36" s="47" t="s">
        <v>15</v>
      </c>
      <c r="E36" s="47">
        <v>70</v>
      </c>
      <c r="F36" s="47">
        <f>C36*E36</f>
        <v>0</v>
      </c>
      <c r="G36" s="51">
        <v>25</v>
      </c>
      <c r="H36" s="47">
        <f>SUM(G36*C36)</f>
        <v>0</v>
      </c>
      <c r="I36" s="52" t="s">
        <v>16</v>
      </c>
      <c r="J36" s="40"/>
      <c r="K36" s="40"/>
      <c r="L36" s="40"/>
    </row>
    <row r="37" s="5" customFormat="1" ht="14" customHeight="1" spans="1:12">
      <c r="A37" s="56">
        <v>3</v>
      </c>
      <c r="B37" s="50" t="s">
        <v>29</v>
      </c>
      <c r="C37" s="47"/>
      <c r="D37" s="47" t="s">
        <v>18</v>
      </c>
      <c r="E37" s="47"/>
      <c r="F37" s="47">
        <f t="shared" ref="F37:F42" si="5">C37*E37</f>
        <v>0</v>
      </c>
      <c r="G37" s="47">
        <v>2.5</v>
      </c>
      <c r="H37" s="47">
        <f t="shared" ref="H37:H42" si="6">SUM(G37*C37)</f>
        <v>0</v>
      </c>
      <c r="I37" s="48" t="s">
        <v>57</v>
      </c>
      <c r="J37" s="40"/>
      <c r="K37" s="40"/>
      <c r="L37" s="40"/>
    </row>
    <row r="38" ht="17" customHeight="1" spans="1:12">
      <c r="A38" s="56">
        <v>4</v>
      </c>
      <c r="B38" s="53" t="s">
        <v>17</v>
      </c>
      <c r="C38" s="49"/>
      <c r="D38" s="47" t="s">
        <v>18</v>
      </c>
      <c r="E38" s="49">
        <v>95</v>
      </c>
      <c r="F38" s="47">
        <f t="shared" si="5"/>
        <v>0</v>
      </c>
      <c r="G38" s="49">
        <v>55</v>
      </c>
      <c r="H38" s="47">
        <f t="shared" si="6"/>
        <v>0</v>
      </c>
      <c r="I38" s="48" t="s">
        <v>19</v>
      </c>
    </row>
    <row r="39" ht="16.5" customHeight="1" spans="1:12">
      <c r="A39" s="56">
        <v>5</v>
      </c>
      <c r="B39" s="50" t="s">
        <v>34</v>
      </c>
      <c r="C39" s="47"/>
      <c r="D39" s="49" t="s">
        <v>32</v>
      </c>
      <c r="E39" s="47">
        <v>2</v>
      </c>
      <c r="F39" s="47">
        <f t="shared" si="5"/>
        <v>0</v>
      </c>
      <c r="G39" s="47">
        <v>4</v>
      </c>
      <c r="H39" s="47">
        <f t="shared" si="6"/>
        <v>0</v>
      </c>
      <c r="I39" s="48" t="s">
        <v>35</v>
      </c>
      <c r="J39" s="40"/>
      <c r="K39" s="40"/>
      <c r="L39" s="40"/>
    </row>
    <row r="40" ht="26.25" customHeight="1" spans="1:12">
      <c r="A40" s="56">
        <v>6</v>
      </c>
      <c r="B40" s="50" t="s">
        <v>36</v>
      </c>
      <c r="C40" s="47"/>
      <c r="D40" s="47" t="s">
        <v>18</v>
      </c>
      <c r="E40" s="47">
        <v>19</v>
      </c>
      <c r="F40" s="47">
        <f t="shared" si="5"/>
        <v>0</v>
      </c>
      <c r="G40" s="47">
        <v>13</v>
      </c>
      <c r="H40" s="47">
        <f t="shared" si="6"/>
        <v>0</v>
      </c>
      <c r="I40" s="48" t="s">
        <v>37</v>
      </c>
      <c r="J40" s="40"/>
      <c r="K40" s="40"/>
      <c r="L40" s="40"/>
    </row>
    <row r="41" ht="27" customHeight="1" spans="1:12">
      <c r="A41" s="56">
        <v>7</v>
      </c>
      <c r="B41" s="50" t="s">
        <v>38</v>
      </c>
      <c r="C41" s="47"/>
      <c r="D41" s="47" t="s">
        <v>18</v>
      </c>
      <c r="E41" s="47">
        <v>12</v>
      </c>
      <c r="F41" s="47">
        <f t="shared" si="5"/>
        <v>0</v>
      </c>
      <c r="G41" s="47">
        <v>7</v>
      </c>
      <c r="H41" s="47">
        <f t="shared" si="6"/>
        <v>0</v>
      </c>
      <c r="I41" s="48" t="s">
        <v>39</v>
      </c>
      <c r="J41" s="40"/>
      <c r="K41" s="40"/>
      <c r="L41" s="40"/>
    </row>
    <row r="42" ht="15" customHeight="1" spans="1:12">
      <c r="A42" s="56">
        <v>8</v>
      </c>
      <c r="B42" s="50" t="s">
        <v>45</v>
      </c>
      <c r="C42" s="47"/>
      <c r="D42" s="47" t="s">
        <v>18</v>
      </c>
      <c r="E42" s="47">
        <v>12</v>
      </c>
      <c r="F42" s="47">
        <f t="shared" si="5"/>
        <v>0</v>
      </c>
      <c r="G42" s="47">
        <v>5</v>
      </c>
      <c r="H42" s="47">
        <f t="shared" si="6"/>
        <v>0</v>
      </c>
      <c r="I42" s="48" t="s">
        <v>46</v>
      </c>
      <c r="J42" s="40"/>
      <c r="K42" s="40"/>
      <c r="L42" s="40"/>
    </row>
    <row r="43" s="6" customFormat="1" ht="18" customHeight="1" spans="1:12">
      <c r="A43" s="64"/>
      <c r="B43" s="65" t="s">
        <v>47</v>
      </c>
      <c r="C43" s="64"/>
      <c r="D43" s="64"/>
      <c r="E43" s="64"/>
      <c r="F43" s="64">
        <f>SUM(F35:F42)</f>
        <v>0</v>
      </c>
      <c r="G43" s="64"/>
      <c r="H43" s="64">
        <f>SUM(H35:H42)</f>
        <v>0</v>
      </c>
      <c r="I43" s="66"/>
      <c r="J43" s="67"/>
      <c r="K43" s="67"/>
      <c r="L43" s="67"/>
    </row>
    <row r="44" ht="18" customHeight="1" spans="1:12">
      <c r="A44" s="45" t="s">
        <v>66</v>
      </c>
      <c r="B44" s="46" t="s">
        <v>67</v>
      </c>
      <c r="C44" s="47"/>
      <c r="D44" s="47"/>
      <c r="E44" s="47"/>
      <c r="F44" s="47"/>
      <c r="G44" s="47"/>
      <c r="H44" s="47"/>
      <c r="I44" s="48"/>
      <c r="J44" s="40"/>
      <c r="K44" s="40"/>
      <c r="L44" s="40"/>
    </row>
    <row r="45" s="8" customFormat="1" ht="24.75" customHeight="1" spans="1:12">
      <c r="A45" s="56">
        <v>1</v>
      </c>
      <c r="B45" s="69" t="s">
        <v>68</v>
      </c>
      <c r="C45" s="56"/>
      <c r="D45" s="56" t="s">
        <v>21</v>
      </c>
      <c r="E45" s="56">
        <v>26</v>
      </c>
      <c r="F45" s="56">
        <f>C45*E45</f>
        <v>0</v>
      </c>
      <c r="G45" s="56">
        <v>20</v>
      </c>
      <c r="H45" s="56">
        <f>SUM(G45*C45)</f>
        <v>0</v>
      </c>
      <c r="I45" s="57" t="s">
        <v>69</v>
      </c>
      <c r="J45" s="74"/>
      <c r="K45" s="74"/>
      <c r="L45" s="74"/>
    </row>
    <row r="46" s="5" customFormat="1" ht="14" customHeight="1" spans="1:12">
      <c r="A46" s="56">
        <v>2</v>
      </c>
      <c r="B46" s="50" t="s">
        <v>29</v>
      </c>
      <c r="C46" s="47"/>
      <c r="D46" s="47" t="s">
        <v>18</v>
      </c>
      <c r="E46" s="47"/>
      <c r="F46" s="47">
        <f t="shared" ref="F45:F48" si="7">C46*E46</f>
        <v>0</v>
      </c>
      <c r="G46" s="47">
        <v>2.5</v>
      </c>
      <c r="H46" s="47">
        <f t="shared" ref="H45:H51" si="8">SUM(G46*C46)</f>
        <v>0</v>
      </c>
      <c r="I46" s="48" t="s">
        <v>57</v>
      </c>
      <c r="J46" s="40"/>
      <c r="K46" s="40"/>
      <c r="L46" s="40"/>
    </row>
    <row r="47" ht="18" customHeight="1" spans="1:12">
      <c r="A47" s="56">
        <v>3</v>
      </c>
      <c r="B47" s="53" t="s">
        <v>17</v>
      </c>
      <c r="C47" s="49"/>
      <c r="D47" s="47" t="s">
        <v>18</v>
      </c>
      <c r="E47" s="49">
        <v>95</v>
      </c>
      <c r="F47" s="47">
        <f t="shared" si="7"/>
        <v>0</v>
      </c>
      <c r="G47" s="49">
        <v>55</v>
      </c>
      <c r="H47" s="47">
        <f t="shared" si="8"/>
        <v>0</v>
      </c>
      <c r="I47" s="48" t="s">
        <v>19</v>
      </c>
    </row>
    <row r="48" ht="15.75" customHeight="1" spans="1:12">
      <c r="A48" s="56">
        <v>4</v>
      </c>
      <c r="B48" s="50" t="s">
        <v>70</v>
      </c>
      <c r="C48" s="47"/>
      <c r="D48" s="47" t="s">
        <v>15</v>
      </c>
      <c r="E48" s="47">
        <v>65</v>
      </c>
      <c r="F48" s="47">
        <f t="shared" si="7"/>
        <v>0</v>
      </c>
      <c r="G48" s="47">
        <v>85</v>
      </c>
      <c r="H48" s="47">
        <f t="shared" si="8"/>
        <v>0</v>
      </c>
      <c r="I48" s="48" t="s">
        <v>71</v>
      </c>
      <c r="J48" s="40"/>
      <c r="K48" s="40"/>
      <c r="L48" s="40"/>
    </row>
    <row r="49" ht="16.5" customHeight="1" spans="1:12">
      <c r="A49" s="56">
        <v>5</v>
      </c>
      <c r="B49" s="50" t="s">
        <v>34</v>
      </c>
      <c r="C49" s="47"/>
      <c r="D49" s="49" t="s">
        <v>32</v>
      </c>
      <c r="E49" s="47">
        <v>2</v>
      </c>
      <c r="F49" s="47">
        <f t="shared" ref="F49:F52" si="9">C49*E49</f>
        <v>0</v>
      </c>
      <c r="G49" s="47">
        <v>4</v>
      </c>
      <c r="H49" s="47">
        <f t="shared" si="8"/>
        <v>0</v>
      </c>
      <c r="I49" s="48" t="s">
        <v>35</v>
      </c>
      <c r="J49" s="40"/>
      <c r="K49" s="40"/>
      <c r="L49" s="40"/>
    </row>
    <row r="50" ht="26.25" customHeight="1" spans="1:12">
      <c r="A50" s="56">
        <v>6</v>
      </c>
      <c r="B50" s="50" t="s">
        <v>36</v>
      </c>
      <c r="C50" s="47"/>
      <c r="D50" s="47" t="s">
        <v>18</v>
      </c>
      <c r="E50" s="47">
        <v>19</v>
      </c>
      <c r="F50" s="47">
        <f t="shared" si="9"/>
        <v>0</v>
      </c>
      <c r="G50" s="47">
        <v>13</v>
      </c>
      <c r="H50" s="47">
        <f t="shared" si="8"/>
        <v>0</v>
      </c>
      <c r="I50" s="48" t="s">
        <v>37</v>
      </c>
      <c r="J50" s="40"/>
      <c r="K50" s="40"/>
      <c r="L50" s="40"/>
    </row>
    <row r="51" ht="27" customHeight="1" spans="1:12">
      <c r="A51" s="56">
        <v>7</v>
      </c>
      <c r="B51" s="50" t="s">
        <v>38</v>
      </c>
      <c r="C51" s="47"/>
      <c r="D51" s="47" t="s">
        <v>18</v>
      </c>
      <c r="E51" s="47">
        <v>12</v>
      </c>
      <c r="F51" s="47">
        <f t="shared" si="9"/>
        <v>0</v>
      </c>
      <c r="G51" s="47">
        <v>7</v>
      </c>
      <c r="H51" s="47">
        <f t="shared" si="8"/>
        <v>0</v>
      </c>
      <c r="I51" s="48" t="s">
        <v>39</v>
      </c>
      <c r="J51" s="40"/>
      <c r="K51" s="40"/>
      <c r="L51" s="40"/>
    </row>
    <row r="52" ht="15" customHeight="1" spans="1:12">
      <c r="A52" s="56">
        <v>8</v>
      </c>
      <c r="B52" s="50" t="s">
        <v>45</v>
      </c>
      <c r="C52" s="47"/>
      <c r="D52" s="47" t="s">
        <v>18</v>
      </c>
      <c r="E52" s="47">
        <v>12</v>
      </c>
      <c r="F52" s="47">
        <f t="shared" si="9"/>
        <v>0</v>
      </c>
      <c r="G52" s="47">
        <v>5</v>
      </c>
      <c r="H52" s="47">
        <f t="shared" ref="H52:H58" si="10">SUM(G52*C52)</f>
        <v>0</v>
      </c>
      <c r="I52" s="48" t="s">
        <v>46</v>
      </c>
      <c r="J52" s="40"/>
      <c r="K52" s="40"/>
      <c r="L52" s="40"/>
    </row>
    <row r="53" s="6" customFormat="1" ht="18" customHeight="1" spans="1:12">
      <c r="A53" s="64"/>
      <c r="B53" s="65" t="s">
        <v>47</v>
      </c>
      <c r="C53" s="64"/>
      <c r="D53" s="64"/>
      <c r="E53" s="64"/>
      <c r="F53" s="64">
        <f>SUM(F45:F52)</f>
        <v>0</v>
      </c>
      <c r="G53" s="64"/>
      <c r="H53" s="64">
        <f>SUM(H45:H52)</f>
        <v>0</v>
      </c>
      <c r="I53" s="66"/>
      <c r="J53" s="67"/>
      <c r="K53" s="67"/>
      <c r="L53" s="67"/>
    </row>
    <row r="54" ht="18" customHeight="1" spans="1:12">
      <c r="A54" s="45"/>
      <c r="B54" s="46" t="s">
        <v>72</v>
      </c>
      <c r="C54" s="47"/>
      <c r="D54" s="47"/>
      <c r="E54" s="47"/>
      <c r="F54" s="47"/>
      <c r="G54" s="47"/>
      <c r="H54" s="47"/>
      <c r="I54" s="48"/>
      <c r="J54" s="40"/>
      <c r="K54" s="40"/>
      <c r="L54" s="40"/>
    </row>
    <row r="55" s="5" customFormat="1" ht="24" customHeight="1" spans="1:12">
      <c r="A55" s="56" t="s">
        <v>12</v>
      </c>
      <c r="B55" s="75" t="s">
        <v>73</v>
      </c>
      <c r="C55" s="76"/>
      <c r="D55" s="76"/>
      <c r="E55" s="77"/>
      <c r="F55" s="56"/>
      <c r="G55" s="56"/>
      <c r="H55" s="56"/>
      <c r="I55" s="57"/>
      <c r="J55" s="61"/>
      <c r="K55" s="61"/>
      <c r="L55" s="61"/>
    </row>
    <row r="56" s="5" customFormat="1" ht="15" customHeight="1" spans="1:12">
      <c r="A56" s="49">
        <v>1</v>
      </c>
      <c r="B56" s="50" t="s">
        <v>14</v>
      </c>
      <c r="C56" s="47"/>
      <c r="D56" s="47" t="s">
        <v>15</v>
      </c>
      <c r="E56" s="47">
        <v>70</v>
      </c>
      <c r="F56" s="47">
        <f t="shared" ref="F56:F60" si="11">C56*E56</f>
        <v>0</v>
      </c>
      <c r="G56" s="51">
        <v>25</v>
      </c>
      <c r="H56" s="47">
        <f t="shared" si="10"/>
        <v>0</v>
      </c>
      <c r="I56" s="52" t="s">
        <v>16</v>
      </c>
      <c r="J56" s="40"/>
      <c r="K56" s="40"/>
      <c r="L56" s="40"/>
    </row>
    <row r="57" s="5" customFormat="1" ht="17" customHeight="1" spans="1:12">
      <c r="A57" s="49">
        <v>2</v>
      </c>
      <c r="B57" s="53" t="s">
        <v>17</v>
      </c>
      <c r="C57" s="49"/>
      <c r="D57" s="47" t="s">
        <v>18</v>
      </c>
      <c r="E57" s="49">
        <v>95</v>
      </c>
      <c r="F57" s="47">
        <f t="shared" si="11"/>
        <v>0</v>
      </c>
      <c r="G57" s="49">
        <v>55</v>
      </c>
      <c r="H57" s="47">
        <f t="shared" si="10"/>
        <v>0</v>
      </c>
      <c r="I57" s="48" t="s">
        <v>19</v>
      </c>
      <c r="J57" s="9"/>
      <c r="K57" s="9"/>
      <c r="L57" s="9"/>
    </row>
    <row r="58" s="4" customFormat="1" ht="26.25" customHeight="1" spans="1:12">
      <c r="A58" s="49">
        <v>3</v>
      </c>
      <c r="B58" s="54" t="s">
        <v>20</v>
      </c>
      <c r="C58" s="55"/>
      <c r="D58" s="56" t="s">
        <v>21</v>
      </c>
      <c r="E58" s="56">
        <v>125</v>
      </c>
      <c r="F58" s="56">
        <f t="shared" si="11"/>
        <v>0</v>
      </c>
      <c r="G58" s="56">
        <v>65</v>
      </c>
      <c r="H58" s="56">
        <f t="shared" si="10"/>
        <v>0</v>
      </c>
      <c r="I58" s="57" t="s">
        <v>22</v>
      </c>
      <c r="J58" s="58"/>
      <c r="K58" s="59"/>
      <c r="L58" s="59" t="s">
        <v>23</v>
      </c>
    </row>
    <row r="59" s="5" customFormat="1" ht="16.5" customHeight="1" spans="1:12">
      <c r="A59" s="49">
        <v>4</v>
      </c>
      <c r="B59" s="50" t="s">
        <v>24</v>
      </c>
      <c r="C59" s="47"/>
      <c r="D59" s="47" t="s">
        <v>25</v>
      </c>
      <c r="E59" s="47">
        <v>38</v>
      </c>
      <c r="F59" s="47">
        <f t="shared" si="11"/>
        <v>0</v>
      </c>
      <c r="G59" s="47">
        <v>22</v>
      </c>
      <c r="H59" s="47">
        <f>C59*G59</f>
        <v>0</v>
      </c>
      <c r="I59" s="48" t="s">
        <v>26</v>
      </c>
      <c r="J59" s="40"/>
      <c r="K59" s="40"/>
      <c r="L59" s="40"/>
    </row>
    <row r="60" s="9" customFormat="1" ht="16.5" customHeight="1" spans="1:12">
      <c r="A60" s="49">
        <v>5</v>
      </c>
      <c r="B60" s="50" t="s">
        <v>74</v>
      </c>
      <c r="C60" s="47"/>
      <c r="D60" s="47" t="s">
        <v>25</v>
      </c>
      <c r="E60" s="47">
        <v>32</v>
      </c>
      <c r="F60" s="47">
        <f t="shared" si="11"/>
        <v>0</v>
      </c>
      <c r="G60" s="47">
        <v>22</v>
      </c>
      <c r="H60" s="47">
        <f>C60*G60</f>
        <v>0</v>
      </c>
      <c r="I60" s="48" t="s">
        <v>26</v>
      </c>
      <c r="J60" s="40"/>
      <c r="K60" s="40"/>
      <c r="L60" s="40"/>
    </row>
    <row r="61" s="5" customFormat="1" ht="25" customHeight="1" spans="1:12">
      <c r="A61" s="49">
        <v>6</v>
      </c>
      <c r="B61" s="60" t="s">
        <v>75</v>
      </c>
      <c r="C61" s="56"/>
      <c r="D61" s="56" t="s">
        <v>21</v>
      </c>
      <c r="E61" s="56">
        <v>28</v>
      </c>
      <c r="F61" s="56">
        <f t="shared" ref="F61:F69" si="12">C61*E61</f>
        <v>0</v>
      </c>
      <c r="G61" s="56">
        <v>71</v>
      </c>
      <c r="H61" s="56">
        <f>C61*G61</f>
        <v>0</v>
      </c>
      <c r="I61" s="57" t="s">
        <v>28</v>
      </c>
      <c r="J61" s="61"/>
      <c r="K61" s="61"/>
      <c r="L61" s="61"/>
    </row>
    <row r="62" s="5" customFormat="1" ht="16.5" customHeight="1" spans="1:12">
      <c r="A62" s="49">
        <v>7</v>
      </c>
      <c r="B62" s="50" t="s">
        <v>29</v>
      </c>
      <c r="C62" s="47"/>
      <c r="D62" s="47" t="s">
        <v>18</v>
      </c>
      <c r="E62" s="47">
        <v>0</v>
      </c>
      <c r="F62" s="47">
        <f t="shared" si="12"/>
        <v>0</v>
      </c>
      <c r="G62" s="47">
        <v>2.5</v>
      </c>
      <c r="H62" s="47">
        <f t="shared" ref="H62:H69" si="13">SUM(G62*C62)</f>
        <v>0</v>
      </c>
      <c r="I62" s="48" t="s">
        <v>30</v>
      </c>
      <c r="J62" s="40"/>
      <c r="K62" s="40"/>
      <c r="L62" s="40"/>
    </row>
    <row r="63" s="5" customFormat="1" ht="16.5" customHeight="1" spans="1:12">
      <c r="A63" s="49">
        <v>8</v>
      </c>
      <c r="B63" s="62" t="s">
        <v>31</v>
      </c>
      <c r="C63" s="49"/>
      <c r="D63" s="49" t="s">
        <v>32</v>
      </c>
      <c r="E63" s="49">
        <v>135</v>
      </c>
      <c r="F63" s="47">
        <f t="shared" si="12"/>
        <v>0</v>
      </c>
      <c r="G63" s="49">
        <v>95</v>
      </c>
      <c r="H63" s="47">
        <f t="shared" si="13"/>
        <v>0</v>
      </c>
      <c r="I63" s="63" t="s">
        <v>33</v>
      </c>
      <c r="J63" s="9"/>
      <c r="K63" s="9"/>
      <c r="L63" s="9"/>
    </row>
    <row r="64" s="5" customFormat="1" ht="16.5" customHeight="1" spans="1:12">
      <c r="A64" s="49">
        <v>9</v>
      </c>
      <c r="B64" s="50" t="s">
        <v>34</v>
      </c>
      <c r="C64" s="47"/>
      <c r="D64" s="49" t="s">
        <v>32</v>
      </c>
      <c r="E64" s="47">
        <v>2</v>
      </c>
      <c r="F64" s="47">
        <f t="shared" si="12"/>
        <v>0</v>
      </c>
      <c r="G64" s="47">
        <v>4</v>
      </c>
      <c r="H64" s="47">
        <f t="shared" si="13"/>
        <v>0</v>
      </c>
      <c r="I64" s="48" t="s">
        <v>35</v>
      </c>
      <c r="J64" s="40"/>
      <c r="K64" s="40"/>
      <c r="L64" s="40"/>
    </row>
    <row r="65" s="5" customFormat="1" ht="27" customHeight="1" spans="1:12">
      <c r="A65" s="49">
        <v>10</v>
      </c>
      <c r="B65" s="50" t="s">
        <v>36</v>
      </c>
      <c r="C65" s="47"/>
      <c r="D65" s="47" t="s">
        <v>18</v>
      </c>
      <c r="E65" s="47">
        <v>19</v>
      </c>
      <c r="F65" s="47">
        <f t="shared" si="12"/>
        <v>0</v>
      </c>
      <c r="G65" s="47">
        <v>13</v>
      </c>
      <c r="H65" s="47">
        <f t="shared" si="13"/>
        <v>0</v>
      </c>
      <c r="I65" s="48" t="s">
        <v>37</v>
      </c>
      <c r="J65" s="40"/>
      <c r="K65" s="40"/>
      <c r="L65" s="40"/>
    </row>
    <row r="66" s="5" customFormat="1" ht="27" customHeight="1" spans="1:12">
      <c r="A66" s="49">
        <v>11</v>
      </c>
      <c r="B66" s="50" t="s">
        <v>38</v>
      </c>
      <c r="C66" s="47"/>
      <c r="D66" s="47" t="s">
        <v>18</v>
      </c>
      <c r="E66" s="47">
        <v>12</v>
      </c>
      <c r="F66" s="47">
        <f t="shared" si="12"/>
        <v>0</v>
      </c>
      <c r="G66" s="47">
        <v>7</v>
      </c>
      <c r="H66" s="47">
        <f t="shared" si="13"/>
        <v>0</v>
      </c>
      <c r="I66" s="48" t="s">
        <v>39</v>
      </c>
      <c r="J66" s="40"/>
      <c r="K66" s="40"/>
      <c r="L66" s="40"/>
    </row>
    <row r="67" s="5" customFormat="1" ht="17.15" customHeight="1" spans="1:12">
      <c r="A67" s="49">
        <v>12</v>
      </c>
      <c r="B67" s="50" t="s">
        <v>40</v>
      </c>
      <c r="C67" s="47"/>
      <c r="D67" s="47" t="s">
        <v>41</v>
      </c>
      <c r="E67" s="47">
        <v>160</v>
      </c>
      <c r="F67" s="47">
        <f t="shared" si="12"/>
        <v>0</v>
      </c>
      <c r="G67" s="47">
        <v>360</v>
      </c>
      <c r="H67" s="47">
        <f t="shared" si="13"/>
        <v>0</v>
      </c>
      <c r="I67" s="48" t="s">
        <v>42</v>
      </c>
      <c r="J67" s="40"/>
      <c r="K67" s="40"/>
      <c r="L67" s="40"/>
    </row>
    <row r="68" s="5" customFormat="1" ht="15" customHeight="1" spans="1:12">
      <c r="A68" s="49">
        <v>13</v>
      </c>
      <c r="B68" s="50" t="s">
        <v>43</v>
      </c>
      <c r="C68" s="47"/>
      <c r="D68" s="47" t="s">
        <v>18</v>
      </c>
      <c r="E68" s="47">
        <v>25</v>
      </c>
      <c r="F68" s="47">
        <f t="shared" si="12"/>
        <v>0</v>
      </c>
      <c r="G68" s="47">
        <v>10</v>
      </c>
      <c r="H68" s="47">
        <f t="shared" si="13"/>
        <v>0</v>
      </c>
      <c r="I68" s="48" t="s">
        <v>44</v>
      </c>
      <c r="J68" s="40"/>
      <c r="K68" s="40"/>
      <c r="L68" s="40"/>
    </row>
    <row r="69" s="5" customFormat="1" ht="15" customHeight="1" spans="1:12">
      <c r="A69" s="49">
        <v>14</v>
      </c>
      <c r="B69" s="50" t="s">
        <v>45</v>
      </c>
      <c r="C69" s="47"/>
      <c r="D69" s="47" t="s">
        <v>18</v>
      </c>
      <c r="E69" s="47">
        <v>12</v>
      </c>
      <c r="F69" s="47">
        <f t="shared" si="12"/>
        <v>0</v>
      </c>
      <c r="G69" s="47">
        <v>5</v>
      </c>
      <c r="H69" s="47">
        <f t="shared" si="13"/>
        <v>0</v>
      </c>
      <c r="I69" s="48" t="s">
        <v>46</v>
      </c>
      <c r="J69" s="40"/>
      <c r="K69" s="40"/>
      <c r="L69" s="40"/>
    </row>
    <row r="70" s="6" customFormat="1" ht="18" customHeight="1" spans="1:12">
      <c r="A70" s="64"/>
      <c r="B70" s="65" t="s">
        <v>47</v>
      </c>
      <c r="C70" s="64"/>
      <c r="D70" s="64"/>
      <c r="E70" s="64"/>
      <c r="F70" s="64">
        <f>SUM(F56:F69)</f>
        <v>0</v>
      </c>
      <c r="G70" s="64"/>
      <c r="H70" s="64">
        <f>SUM(H56:H69)</f>
        <v>0</v>
      </c>
      <c r="I70" s="66"/>
      <c r="J70" s="67"/>
      <c r="K70" s="67"/>
      <c r="L70" s="67"/>
    </row>
    <row r="71" s="10" customFormat="1" ht="17.25" customHeight="1" spans="1:12">
      <c r="A71" s="47" t="s">
        <v>48</v>
      </c>
      <c r="B71" s="68" t="s">
        <v>49</v>
      </c>
      <c r="C71" s="47"/>
      <c r="D71" s="47"/>
      <c r="E71" s="47"/>
      <c r="F71" s="47"/>
      <c r="G71" s="47"/>
      <c r="H71" s="47"/>
      <c r="I71" s="48"/>
      <c r="J71" s="40"/>
      <c r="K71" s="40"/>
      <c r="L71" s="40"/>
    </row>
    <row r="72" s="5" customFormat="1" ht="27" customHeight="1" spans="1:12">
      <c r="A72" s="56">
        <v>1</v>
      </c>
      <c r="B72" s="69" t="s">
        <v>76</v>
      </c>
      <c r="C72" s="56"/>
      <c r="D72" s="56" t="s">
        <v>21</v>
      </c>
      <c r="E72" s="56">
        <v>28</v>
      </c>
      <c r="F72" s="56">
        <f t="shared" ref="F72:F80" si="14">C72*E72</f>
        <v>0</v>
      </c>
      <c r="G72" s="56">
        <v>32</v>
      </c>
      <c r="H72" s="56">
        <f t="shared" ref="H72:H80" si="15">SUM(G72*C72)</f>
        <v>0</v>
      </c>
      <c r="I72" s="57" t="s">
        <v>28</v>
      </c>
      <c r="J72" s="61"/>
      <c r="K72" s="61"/>
      <c r="L72" s="61"/>
    </row>
    <row r="73" s="5" customFormat="1" ht="14.25" customHeight="1" spans="1:12">
      <c r="A73" s="56">
        <v>2</v>
      </c>
      <c r="B73" s="69" t="s">
        <v>51</v>
      </c>
      <c r="C73" s="56"/>
      <c r="D73" s="56" t="s">
        <v>21</v>
      </c>
      <c r="E73" s="56">
        <v>28</v>
      </c>
      <c r="F73" s="56">
        <f t="shared" si="14"/>
        <v>0</v>
      </c>
      <c r="G73" s="56">
        <v>40</v>
      </c>
      <c r="H73" s="56">
        <f t="shared" si="15"/>
        <v>0</v>
      </c>
      <c r="I73" s="57" t="s">
        <v>52</v>
      </c>
      <c r="J73" s="61"/>
      <c r="K73" s="61"/>
      <c r="L73" s="61"/>
    </row>
    <row r="74" s="10" customFormat="1" ht="16" customHeight="1" spans="1:12">
      <c r="A74" s="56">
        <v>3</v>
      </c>
      <c r="B74" s="52" t="s">
        <v>53</v>
      </c>
      <c r="C74" s="47"/>
      <c r="D74" s="47" t="s">
        <v>18</v>
      </c>
      <c r="E74" s="47">
        <v>0</v>
      </c>
      <c r="F74" s="47">
        <f t="shared" si="14"/>
        <v>0</v>
      </c>
      <c r="G74" s="47">
        <v>9</v>
      </c>
      <c r="H74" s="47">
        <f t="shared" si="15"/>
        <v>0</v>
      </c>
      <c r="I74" s="48" t="s">
        <v>54</v>
      </c>
      <c r="J74" s="40"/>
      <c r="K74" s="40"/>
      <c r="L74" s="40"/>
    </row>
    <row r="75" s="7" customFormat="1" ht="14.25" customHeight="1" spans="1:12">
      <c r="A75" s="56">
        <v>4</v>
      </c>
      <c r="B75" s="69" t="s">
        <v>55</v>
      </c>
      <c r="C75" s="47"/>
      <c r="D75" s="47" t="s">
        <v>15</v>
      </c>
      <c r="E75" s="47">
        <v>8</v>
      </c>
      <c r="F75" s="47">
        <f t="shared" si="14"/>
        <v>0</v>
      </c>
      <c r="G75" s="47">
        <v>20</v>
      </c>
      <c r="H75" s="47">
        <f t="shared" si="15"/>
        <v>0</v>
      </c>
      <c r="I75" s="48" t="s">
        <v>56</v>
      </c>
      <c r="J75" s="70"/>
      <c r="K75" s="70"/>
      <c r="L75" s="70"/>
    </row>
    <row r="76" s="10" customFormat="1" ht="14" customHeight="1" spans="1:12">
      <c r="A76" s="56">
        <v>5</v>
      </c>
      <c r="B76" s="50" t="s">
        <v>29</v>
      </c>
      <c r="C76" s="47"/>
      <c r="D76" s="47" t="s">
        <v>18</v>
      </c>
      <c r="E76" s="47"/>
      <c r="F76" s="47">
        <f t="shared" si="14"/>
        <v>0</v>
      </c>
      <c r="G76" s="47">
        <v>2.5</v>
      </c>
      <c r="H76" s="47">
        <f t="shared" si="15"/>
        <v>0</v>
      </c>
      <c r="I76" s="48" t="s">
        <v>57</v>
      </c>
      <c r="J76" s="40"/>
      <c r="K76" s="40"/>
      <c r="L76" s="40"/>
    </row>
    <row r="77" s="10" customFormat="1" ht="15" customHeight="1" spans="1:12">
      <c r="A77" s="56">
        <v>6</v>
      </c>
      <c r="B77" s="50" t="s">
        <v>58</v>
      </c>
      <c r="C77" s="47"/>
      <c r="D77" s="47" t="s">
        <v>18</v>
      </c>
      <c r="E77" s="47">
        <v>45</v>
      </c>
      <c r="F77" s="47">
        <f t="shared" si="14"/>
        <v>0</v>
      </c>
      <c r="G77" s="47">
        <v>20</v>
      </c>
      <c r="H77" s="47">
        <f t="shared" si="15"/>
        <v>0</v>
      </c>
      <c r="I77" s="48" t="s">
        <v>59</v>
      </c>
      <c r="J77" s="40"/>
      <c r="K77" s="40"/>
      <c r="L77" s="40"/>
    </row>
    <row r="78" s="10" customFormat="1" ht="14.25" customHeight="1" spans="1:12">
      <c r="A78" s="56">
        <v>7</v>
      </c>
      <c r="B78" s="50" t="s">
        <v>60</v>
      </c>
      <c r="C78" s="47"/>
      <c r="D78" s="47" t="s">
        <v>18</v>
      </c>
      <c r="E78" s="47">
        <v>22</v>
      </c>
      <c r="F78" s="47">
        <f t="shared" si="14"/>
        <v>0</v>
      </c>
      <c r="G78" s="47">
        <v>12</v>
      </c>
      <c r="H78" s="47">
        <f t="shared" si="15"/>
        <v>0</v>
      </c>
      <c r="I78" s="48" t="s">
        <v>61</v>
      </c>
      <c r="J78" s="40"/>
      <c r="K78" s="40"/>
      <c r="L78" s="40"/>
    </row>
    <row r="79" s="10" customFormat="1" ht="15" customHeight="1" spans="1:12">
      <c r="A79" s="56">
        <v>8</v>
      </c>
      <c r="B79" s="50" t="s">
        <v>62</v>
      </c>
      <c r="C79" s="47"/>
      <c r="D79" s="47" t="s">
        <v>18</v>
      </c>
      <c r="E79" s="47">
        <v>45</v>
      </c>
      <c r="F79" s="47">
        <f t="shared" si="14"/>
        <v>0</v>
      </c>
      <c r="G79" s="47">
        <v>20</v>
      </c>
      <c r="H79" s="47">
        <f t="shared" si="15"/>
        <v>0</v>
      </c>
      <c r="I79" s="48" t="s">
        <v>63</v>
      </c>
      <c r="J79" s="40"/>
      <c r="K79" s="40"/>
      <c r="L79" s="40"/>
    </row>
    <row r="80" s="10" customFormat="1" ht="15" customHeight="1" spans="1:12">
      <c r="A80" s="56">
        <v>9</v>
      </c>
      <c r="B80" s="50" t="s">
        <v>45</v>
      </c>
      <c r="C80" s="47"/>
      <c r="D80" s="47" t="s">
        <v>18</v>
      </c>
      <c r="E80" s="47">
        <v>12</v>
      </c>
      <c r="F80" s="47">
        <f t="shared" si="14"/>
        <v>0</v>
      </c>
      <c r="G80" s="47">
        <v>5</v>
      </c>
      <c r="H80" s="47">
        <f t="shared" si="15"/>
        <v>0</v>
      </c>
      <c r="I80" s="48" t="s">
        <v>46</v>
      </c>
      <c r="J80" s="40"/>
      <c r="K80" s="40"/>
      <c r="L80" s="40"/>
    </row>
    <row r="81" s="6" customFormat="1" ht="18" customHeight="1" spans="1:12">
      <c r="A81" s="64"/>
      <c r="B81" s="65" t="s">
        <v>47</v>
      </c>
      <c r="C81" s="64"/>
      <c r="D81" s="64"/>
      <c r="E81" s="64"/>
      <c r="F81" s="64">
        <f>SUM(F72:F80)</f>
        <v>0</v>
      </c>
      <c r="G81" s="64"/>
      <c r="H81" s="64">
        <f>SUM(H72:H80)</f>
        <v>0</v>
      </c>
      <c r="I81" s="66"/>
      <c r="J81" s="67"/>
      <c r="K81" s="67"/>
      <c r="L81" s="67"/>
    </row>
    <row r="82" s="9" customFormat="1" ht="18" customHeight="1" spans="1:12">
      <c r="A82" s="45" t="s">
        <v>64</v>
      </c>
      <c r="B82" s="68" t="s">
        <v>77</v>
      </c>
      <c r="C82" s="47"/>
      <c r="D82" s="47"/>
      <c r="E82" s="47"/>
      <c r="F82" s="47"/>
      <c r="G82" s="47"/>
      <c r="H82" s="47"/>
      <c r="I82" s="48"/>
      <c r="J82" s="40"/>
      <c r="K82" s="40"/>
      <c r="L82" s="40"/>
    </row>
    <row r="83" s="5" customFormat="1" ht="25" customHeight="1" spans="1:12">
      <c r="A83" s="49">
        <v>1</v>
      </c>
      <c r="B83" s="60" t="s">
        <v>75</v>
      </c>
      <c r="C83" s="56"/>
      <c r="D83" s="56" t="s">
        <v>21</v>
      </c>
      <c r="E83" s="56">
        <v>28</v>
      </c>
      <c r="F83" s="56">
        <f t="shared" ref="F83:F89" si="16">C83*E83</f>
        <v>0</v>
      </c>
      <c r="G83" s="56">
        <v>71</v>
      </c>
      <c r="H83" s="56">
        <f>C83*G83</f>
        <v>0</v>
      </c>
      <c r="I83" s="57" t="s">
        <v>28</v>
      </c>
      <c r="J83" s="61"/>
      <c r="K83" s="61"/>
      <c r="L83" s="61"/>
    </row>
    <row r="84" s="5" customFormat="1" ht="15" customHeight="1" spans="1:12">
      <c r="A84" s="49">
        <v>2</v>
      </c>
      <c r="B84" s="69" t="s">
        <v>51</v>
      </c>
      <c r="C84" s="56"/>
      <c r="D84" s="56" t="s">
        <v>21</v>
      </c>
      <c r="E84" s="56">
        <v>28</v>
      </c>
      <c r="F84" s="56">
        <f t="shared" si="16"/>
        <v>0</v>
      </c>
      <c r="G84" s="56">
        <v>40</v>
      </c>
      <c r="H84" s="56">
        <f t="shared" ref="H84:H89" si="17">SUM(G84*C84)</f>
        <v>0</v>
      </c>
      <c r="I84" s="57" t="s">
        <v>52</v>
      </c>
      <c r="J84" s="61"/>
      <c r="K84" s="61"/>
      <c r="L84" s="61"/>
    </row>
    <row r="85" s="9" customFormat="1" ht="16" customHeight="1" spans="1:12">
      <c r="A85" s="49">
        <v>3</v>
      </c>
      <c r="B85" s="52" t="s">
        <v>53</v>
      </c>
      <c r="C85" s="47"/>
      <c r="D85" s="47" t="s">
        <v>18</v>
      </c>
      <c r="E85" s="47">
        <v>0</v>
      </c>
      <c r="F85" s="47">
        <f t="shared" si="16"/>
        <v>0</v>
      </c>
      <c r="G85" s="47">
        <v>9</v>
      </c>
      <c r="H85" s="47">
        <f t="shared" si="17"/>
        <v>0</v>
      </c>
      <c r="I85" s="48" t="s">
        <v>54</v>
      </c>
      <c r="J85" s="40"/>
      <c r="K85" s="40"/>
      <c r="L85" s="40"/>
    </row>
    <row r="86" s="7" customFormat="1" ht="15" customHeight="1" spans="1:12">
      <c r="A86" s="49">
        <v>4</v>
      </c>
      <c r="B86" s="78" t="s">
        <v>55</v>
      </c>
      <c r="C86" s="47"/>
      <c r="D86" s="47" t="s">
        <v>15</v>
      </c>
      <c r="E86" s="47">
        <v>8</v>
      </c>
      <c r="F86" s="47">
        <f t="shared" si="16"/>
        <v>0</v>
      </c>
      <c r="G86" s="47">
        <v>20</v>
      </c>
      <c r="H86" s="47">
        <f t="shared" si="17"/>
        <v>0</v>
      </c>
      <c r="I86" s="48" t="s">
        <v>56</v>
      </c>
      <c r="J86" s="70"/>
      <c r="K86" s="70"/>
      <c r="L86" s="70"/>
    </row>
    <row r="87" s="9" customFormat="1" ht="15" customHeight="1" spans="1:12">
      <c r="A87" s="49">
        <v>5</v>
      </c>
      <c r="B87" s="50" t="s">
        <v>29</v>
      </c>
      <c r="C87" s="47"/>
      <c r="D87" s="47" t="s">
        <v>18</v>
      </c>
      <c r="E87" s="47">
        <v>0</v>
      </c>
      <c r="F87" s="47">
        <f t="shared" si="16"/>
        <v>0</v>
      </c>
      <c r="G87" s="47">
        <v>2.5</v>
      </c>
      <c r="H87" s="47">
        <f t="shared" si="17"/>
        <v>0</v>
      </c>
      <c r="I87" s="48" t="s">
        <v>57</v>
      </c>
      <c r="J87" s="40"/>
      <c r="K87" s="40"/>
      <c r="L87" s="40"/>
    </row>
    <row r="88" s="9" customFormat="1" ht="15" customHeight="1" spans="1:12">
      <c r="A88" s="49">
        <v>6</v>
      </c>
      <c r="B88" s="50" t="s">
        <v>58</v>
      </c>
      <c r="C88" s="47"/>
      <c r="D88" s="47" t="s">
        <v>18</v>
      </c>
      <c r="E88" s="47">
        <v>45</v>
      </c>
      <c r="F88" s="47">
        <f t="shared" si="16"/>
        <v>0</v>
      </c>
      <c r="G88" s="47">
        <v>20</v>
      </c>
      <c r="H88" s="47">
        <f t="shared" si="17"/>
        <v>0</v>
      </c>
      <c r="I88" s="48" t="s">
        <v>78</v>
      </c>
      <c r="J88" s="40"/>
      <c r="K88" s="40"/>
      <c r="L88" s="40"/>
    </row>
    <row r="89" s="9" customFormat="1" ht="15" customHeight="1" spans="1:12">
      <c r="A89" s="49">
        <v>7</v>
      </c>
      <c r="B89" s="50" t="s">
        <v>45</v>
      </c>
      <c r="C89" s="47"/>
      <c r="D89" s="47" t="s">
        <v>18</v>
      </c>
      <c r="E89" s="47">
        <v>12</v>
      </c>
      <c r="F89" s="47">
        <f t="shared" si="16"/>
        <v>0</v>
      </c>
      <c r="G89" s="47">
        <v>5</v>
      </c>
      <c r="H89" s="47">
        <f t="shared" si="17"/>
        <v>0</v>
      </c>
      <c r="I89" s="48" t="s">
        <v>46</v>
      </c>
      <c r="J89" s="40"/>
      <c r="K89" s="40"/>
      <c r="L89" s="40"/>
    </row>
    <row r="90" s="11" customFormat="1" ht="17.25" customHeight="1" spans="1:12">
      <c r="A90" s="79"/>
      <c r="B90" s="80" t="s">
        <v>47</v>
      </c>
      <c r="C90" s="79"/>
      <c r="D90" s="79"/>
      <c r="E90" s="81"/>
      <c r="F90" s="82">
        <f>SUM(F83:F89)</f>
        <v>0</v>
      </c>
      <c r="G90" s="79"/>
      <c r="H90" s="82">
        <f>SUM(H83:H89)</f>
        <v>0</v>
      </c>
      <c r="I90" s="83"/>
      <c r="J90" s="84"/>
      <c r="K90" s="84"/>
      <c r="L90" s="84"/>
    </row>
    <row r="91" s="9" customFormat="1" ht="18.75" customHeight="1" spans="1:12">
      <c r="A91" s="45" t="s">
        <v>66</v>
      </c>
      <c r="B91" s="71" t="s">
        <v>79</v>
      </c>
      <c r="C91" s="72"/>
      <c r="D91" s="72"/>
      <c r="E91" s="73"/>
      <c r="F91" s="47"/>
      <c r="G91" s="47"/>
      <c r="H91" s="47"/>
      <c r="I91" s="48"/>
      <c r="J91" s="40"/>
      <c r="K91" s="40"/>
      <c r="L91" s="40"/>
    </row>
    <row r="92" s="5" customFormat="1" ht="28" customHeight="1" spans="1:12">
      <c r="A92" s="56">
        <v>1</v>
      </c>
      <c r="B92" s="69" t="s">
        <v>80</v>
      </c>
      <c r="C92" s="56"/>
      <c r="D92" s="56" t="s">
        <v>21</v>
      </c>
      <c r="E92" s="56">
        <v>28</v>
      </c>
      <c r="F92" s="56">
        <f>C92*E92</f>
        <v>0</v>
      </c>
      <c r="G92" s="56">
        <v>32</v>
      </c>
      <c r="H92" s="56">
        <f>SUM(G92*C92)</f>
        <v>0</v>
      </c>
      <c r="I92" s="57" t="s">
        <v>28</v>
      </c>
      <c r="J92" s="61"/>
      <c r="K92" s="61"/>
      <c r="L92" s="61"/>
    </row>
    <row r="93" s="12" customFormat="1" ht="15" customHeight="1" spans="1:12">
      <c r="A93" s="56">
        <v>2</v>
      </c>
      <c r="B93" s="85" t="s">
        <v>14</v>
      </c>
      <c r="C93" s="86"/>
      <c r="D93" s="86" t="s">
        <v>15</v>
      </c>
      <c r="E93" s="86">
        <v>70</v>
      </c>
      <c r="F93" s="86">
        <f>C93*E93</f>
        <v>0</v>
      </c>
      <c r="G93" s="87">
        <v>25</v>
      </c>
      <c r="H93" s="86">
        <f>SUM(G93*C93)</f>
        <v>0</v>
      </c>
      <c r="I93" s="88" t="s">
        <v>16</v>
      </c>
      <c r="J93" s="89"/>
      <c r="K93" s="89"/>
      <c r="L93" s="89"/>
    </row>
    <row r="94" s="5" customFormat="1" ht="14" customHeight="1" spans="1:12">
      <c r="A94" s="56">
        <v>3</v>
      </c>
      <c r="B94" s="50" t="s">
        <v>29</v>
      </c>
      <c r="C94" s="47"/>
      <c r="D94" s="47" t="s">
        <v>18</v>
      </c>
      <c r="E94" s="47"/>
      <c r="F94" s="47">
        <f t="shared" ref="F94:F99" si="18">C94*E94</f>
        <v>0</v>
      </c>
      <c r="G94" s="47">
        <v>2.5</v>
      </c>
      <c r="H94" s="47">
        <f t="shared" ref="H94:H99" si="19">SUM(G94*C94)</f>
        <v>0</v>
      </c>
      <c r="I94" s="48" t="s">
        <v>57</v>
      </c>
      <c r="J94" s="40"/>
      <c r="K94" s="40"/>
      <c r="L94" s="40"/>
    </row>
    <row r="95" s="4" customFormat="1" ht="26.25" customHeight="1" spans="1:12">
      <c r="A95" s="56">
        <v>4</v>
      </c>
      <c r="B95" s="54" t="s">
        <v>20</v>
      </c>
      <c r="C95" s="55"/>
      <c r="D95" s="56" t="s">
        <v>21</v>
      </c>
      <c r="E95" s="56">
        <v>125</v>
      </c>
      <c r="F95" s="56">
        <f t="shared" si="18"/>
        <v>0</v>
      </c>
      <c r="G95" s="56">
        <v>65</v>
      </c>
      <c r="H95" s="56">
        <f t="shared" si="19"/>
        <v>0</v>
      </c>
      <c r="I95" s="57" t="s">
        <v>22</v>
      </c>
      <c r="J95" s="58"/>
      <c r="K95" s="59"/>
      <c r="L95" s="59" t="s">
        <v>23</v>
      </c>
    </row>
    <row r="96" s="9" customFormat="1" ht="16.5" customHeight="1" spans="1:12">
      <c r="A96" s="56">
        <v>5</v>
      </c>
      <c r="B96" s="50" t="s">
        <v>34</v>
      </c>
      <c r="C96" s="47"/>
      <c r="D96" s="49" t="s">
        <v>32</v>
      </c>
      <c r="E96" s="47">
        <v>2</v>
      </c>
      <c r="F96" s="47">
        <f t="shared" si="18"/>
        <v>0</v>
      </c>
      <c r="G96" s="47">
        <v>4</v>
      </c>
      <c r="H96" s="47">
        <f t="shared" si="19"/>
        <v>0</v>
      </c>
      <c r="I96" s="48" t="s">
        <v>35</v>
      </c>
      <c r="J96" s="40"/>
      <c r="K96" s="40"/>
      <c r="L96" s="40"/>
    </row>
    <row r="97" s="9" customFormat="1" ht="26.25" customHeight="1" spans="1:12">
      <c r="A97" s="56">
        <v>6</v>
      </c>
      <c r="B97" s="50" t="s">
        <v>36</v>
      </c>
      <c r="C97" s="47"/>
      <c r="D97" s="47" t="s">
        <v>18</v>
      </c>
      <c r="E97" s="47">
        <v>19</v>
      </c>
      <c r="F97" s="47">
        <f t="shared" si="18"/>
        <v>0</v>
      </c>
      <c r="G97" s="47">
        <v>13</v>
      </c>
      <c r="H97" s="47">
        <f t="shared" si="19"/>
        <v>0</v>
      </c>
      <c r="I97" s="48" t="s">
        <v>37</v>
      </c>
      <c r="J97" s="40"/>
      <c r="K97" s="40"/>
      <c r="L97" s="40"/>
    </row>
    <row r="98" s="9" customFormat="1" ht="27" customHeight="1" spans="1:12">
      <c r="A98" s="56">
        <v>7</v>
      </c>
      <c r="B98" s="50" t="s">
        <v>38</v>
      </c>
      <c r="C98" s="47"/>
      <c r="D98" s="47" t="s">
        <v>18</v>
      </c>
      <c r="E98" s="47">
        <v>12</v>
      </c>
      <c r="F98" s="47">
        <f t="shared" si="18"/>
        <v>0</v>
      </c>
      <c r="G98" s="47">
        <v>7</v>
      </c>
      <c r="H98" s="47">
        <f t="shared" si="19"/>
        <v>0</v>
      </c>
      <c r="I98" s="48" t="s">
        <v>39</v>
      </c>
      <c r="J98" s="40"/>
      <c r="K98" s="40"/>
      <c r="L98" s="40"/>
    </row>
    <row r="99" s="9" customFormat="1" ht="15" customHeight="1" spans="1:12">
      <c r="A99" s="56">
        <v>8</v>
      </c>
      <c r="B99" s="50" t="s">
        <v>45</v>
      </c>
      <c r="C99" s="47"/>
      <c r="D99" s="47" t="s">
        <v>18</v>
      </c>
      <c r="E99" s="47">
        <v>12</v>
      </c>
      <c r="F99" s="47">
        <f t="shared" si="18"/>
        <v>0</v>
      </c>
      <c r="G99" s="47">
        <v>5</v>
      </c>
      <c r="H99" s="47">
        <f t="shared" si="19"/>
        <v>0</v>
      </c>
      <c r="I99" s="48" t="s">
        <v>46</v>
      </c>
      <c r="J99" s="40"/>
      <c r="K99" s="40"/>
      <c r="L99" s="40"/>
    </row>
    <row r="100" s="6" customFormat="1" ht="18" customHeight="1" spans="1:12">
      <c r="A100" s="64"/>
      <c r="B100" s="65" t="s">
        <v>47</v>
      </c>
      <c r="C100" s="64"/>
      <c r="D100" s="64"/>
      <c r="E100" s="64"/>
      <c r="F100" s="64">
        <f>SUM(F92:F99)</f>
        <v>0</v>
      </c>
      <c r="G100" s="64"/>
      <c r="H100" s="64">
        <f>SUM(H92:H99)</f>
        <v>0</v>
      </c>
      <c r="I100" s="66"/>
      <c r="J100" s="67"/>
      <c r="K100" s="67"/>
      <c r="L100" s="67"/>
    </row>
    <row r="101" s="9" customFormat="1" ht="18.75" customHeight="1" spans="1:12">
      <c r="A101" s="45" t="s">
        <v>81</v>
      </c>
      <c r="B101" s="71" t="s">
        <v>82</v>
      </c>
      <c r="C101" s="72"/>
      <c r="D101" s="72"/>
      <c r="E101" s="73"/>
      <c r="F101" s="47"/>
      <c r="G101" s="47"/>
      <c r="H101" s="47"/>
      <c r="I101" s="48"/>
      <c r="J101" s="40"/>
      <c r="K101" s="40"/>
      <c r="L101" s="40"/>
    </row>
    <row r="102" s="5" customFormat="1" ht="28" customHeight="1" spans="1:12">
      <c r="A102" s="56">
        <v>1</v>
      </c>
      <c r="B102" s="69" t="s">
        <v>80</v>
      </c>
      <c r="C102" s="56"/>
      <c r="D102" s="56" t="s">
        <v>21</v>
      </c>
      <c r="E102" s="56">
        <v>28</v>
      </c>
      <c r="F102" s="56">
        <f t="shared" ref="F102:F108" si="20">C102*E102</f>
        <v>0</v>
      </c>
      <c r="G102" s="56">
        <v>32</v>
      </c>
      <c r="H102" s="56">
        <f t="shared" ref="H102:H108" si="21">SUM(G102*C102)</f>
        <v>0</v>
      </c>
      <c r="I102" s="57" t="s">
        <v>28</v>
      </c>
      <c r="J102" s="61"/>
      <c r="K102" s="61"/>
      <c r="L102" s="61"/>
    </row>
    <row r="103" s="5" customFormat="1" ht="14" customHeight="1" spans="1:12">
      <c r="A103" s="56">
        <v>2</v>
      </c>
      <c r="B103" s="50" t="s">
        <v>29</v>
      </c>
      <c r="C103" s="47"/>
      <c r="D103" s="47" t="s">
        <v>18</v>
      </c>
      <c r="E103" s="47"/>
      <c r="F103" s="47">
        <f t="shared" si="20"/>
        <v>0</v>
      </c>
      <c r="G103" s="47">
        <v>2.5</v>
      </c>
      <c r="H103" s="47">
        <f t="shared" si="21"/>
        <v>0</v>
      </c>
      <c r="I103" s="48" t="s">
        <v>57</v>
      </c>
      <c r="J103" s="40"/>
      <c r="K103" s="40"/>
      <c r="L103" s="40"/>
    </row>
    <row r="104" s="4" customFormat="1" ht="26.25" customHeight="1" spans="1:12">
      <c r="A104" s="56">
        <v>3</v>
      </c>
      <c r="B104" s="54" t="s">
        <v>20</v>
      </c>
      <c r="C104" s="55"/>
      <c r="D104" s="56" t="s">
        <v>21</v>
      </c>
      <c r="E104" s="56">
        <v>125</v>
      </c>
      <c r="F104" s="56">
        <f t="shared" si="20"/>
        <v>0</v>
      </c>
      <c r="G104" s="56">
        <v>65</v>
      </c>
      <c r="H104" s="56">
        <f t="shared" si="21"/>
        <v>0</v>
      </c>
      <c r="I104" s="57" t="s">
        <v>22</v>
      </c>
      <c r="J104" s="58"/>
      <c r="K104" s="59"/>
      <c r="L104" s="59" t="s">
        <v>23</v>
      </c>
    </row>
    <row r="105" s="9" customFormat="1" ht="16.5" customHeight="1" spans="1:12">
      <c r="A105" s="56">
        <v>4</v>
      </c>
      <c r="B105" s="50" t="s">
        <v>34</v>
      </c>
      <c r="C105" s="47"/>
      <c r="D105" s="49" t="s">
        <v>32</v>
      </c>
      <c r="E105" s="47">
        <v>2</v>
      </c>
      <c r="F105" s="47">
        <f t="shared" si="20"/>
        <v>0</v>
      </c>
      <c r="G105" s="47">
        <v>4</v>
      </c>
      <c r="H105" s="47">
        <f t="shared" si="21"/>
        <v>0</v>
      </c>
      <c r="I105" s="48" t="s">
        <v>35</v>
      </c>
      <c r="J105" s="40"/>
      <c r="K105" s="40"/>
      <c r="L105" s="40"/>
    </row>
    <row r="106" s="9" customFormat="1" ht="26.25" customHeight="1" spans="1:12">
      <c r="A106" s="56">
        <v>5</v>
      </c>
      <c r="B106" s="50" t="s">
        <v>36</v>
      </c>
      <c r="C106" s="47"/>
      <c r="D106" s="47" t="s">
        <v>18</v>
      </c>
      <c r="E106" s="47">
        <v>19</v>
      </c>
      <c r="F106" s="47">
        <f t="shared" si="20"/>
        <v>0</v>
      </c>
      <c r="G106" s="47">
        <v>13</v>
      </c>
      <c r="H106" s="47">
        <f t="shared" si="21"/>
        <v>0</v>
      </c>
      <c r="I106" s="48" t="s">
        <v>37</v>
      </c>
      <c r="J106" s="40"/>
      <c r="K106" s="40"/>
      <c r="L106" s="40"/>
    </row>
    <row r="107" s="9" customFormat="1" ht="27" customHeight="1" spans="1:12">
      <c r="A107" s="56">
        <v>6</v>
      </c>
      <c r="B107" s="50" t="s">
        <v>38</v>
      </c>
      <c r="C107" s="47"/>
      <c r="D107" s="47" t="s">
        <v>18</v>
      </c>
      <c r="E107" s="47">
        <v>12</v>
      </c>
      <c r="F107" s="47">
        <f t="shared" si="20"/>
        <v>0</v>
      </c>
      <c r="G107" s="47">
        <v>7</v>
      </c>
      <c r="H107" s="47">
        <f t="shared" si="21"/>
        <v>0</v>
      </c>
      <c r="I107" s="48" t="s">
        <v>39</v>
      </c>
      <c r="J107" s="40"/>
      <c r="K107" s="40"/>
      <c r="L107" s="40"/>
    </row>
    <row r="108" s="9" customFormat="1" ht="15" customHeight="1" spans="1:12">
      <c r="A108" s="56">
        <v>7</v>
      </c>
      <c r="B108" s="50" t="s">
        <v>45</v>
      </c>
      <c r="C108" s="47"/>
      <c r="D108" s="47" t="s">
        <v>18</v>
      </c>
      <c r="E108" s="47">
        <v>12</v>
      </c>
      <c r="F108" s="47">
        <f t="shared" si="20"/>
        <v>0</v>
      </c>
      <c r="G108" s="47">
        <v>5</v>
      </c>
      <c r="H108" s="47">
        <f t="shared" si="21"/>
        <v>0</v>
      </c>
      <c r="I108" s="48" t="s">
        <v>46</v>
      </c>
      <c r="J108" s="40"/>
      <c r="K108" s="40"/>
      <c r="L108" s="40"/>
    </row>
    <row r="109" s="6" customFormat="1" ht="18" customHeight="1" spans="1:12">
      <c r="A109" s="64"/>
      <c r="B109" s="65" t="s">
        <v>47</v>
      </c>
      <c r="C109" s="64"/>
      <c r="D109" s="64"/>
      <c r="E109" s="64"/>
      <c r="F109" s="64">
        <f>SUM(F102:F108)</f>
        <v>0</v>
      </c>
      <c r="G109" s="64"/>
      <c r="H109" s="64">
        <f>SUM(H102:H108)</f>
        <v>0</v>
      </c>
      <c r="I109" s="66"/>
      <c r="J109" s="67"/>
      <c r="K109" s="67"/>
      <c r="L109" s="67"/>
    </row>
    <row r="110" s="13" customFormat="1" ht="18" customHeight="1" spans="1:12">
      <c r="A110" s="90" t="s">
        <v>83</v>
      </c>
      <c r="B110" s="91" t="s">
        <v>84</v>
      </c>
      <c r="C110" s="86"/>
      <c r="D110" s="86"/>
      <c r="E110" s="86"/>
      <c r="F110" s="86"/>
      <c r="G110" s="86"/>
      <c r="H110" s="86"/>
      <c r="I110" s="92"/>
      <c r="J110" s="89"/>
      <c r="K110" s="89"/>
      <c r="L110" s="89"/>
    </row>
    <row r="111" s="14" customFormat="1" ht="27" customHeight="1" spans="1:12">
      <c r="A111" s="93">
        <v>1</v>
      </c>
      <c r="B111" s="94" t="s">
        <v>85</v>
      </c>
      <c r="C111" s="93"/>
      <c r="D111" s="93" t="s">
        <v>21</v>
      </c>
      <c r="E111" s="93">
        <v>28</v>
      </c>
      <c r="F111" s="93">
        <f t="shared" ref="F111:F119" si="22">C111*E111</f>
        <v>0</v>
      </c>
      <c r="G111" s="93">
        <v>32</v>
      </c>
      <c r="H111" s="93">
        <f t="shared" ref="H111:H119" si="23">SUM(G111*C111)</f>
        <v>0</v>
      </c>
      <c r="I111" s="95" t="s">
        <v>28</v>
      </c>
      <c r="J111" s="96"/>
      <c r="K111" s="96"/>
      <c r="L111" s="96"/>
    </row>
    <row r="112" s="14" customFormat="1" ht="15" customHeight="1" spans="1:12">
      <c r="A112" s="93">
        <v>2</v>
      </c>
      <c r="B112" s="94" t="s">
        <v>86</v>
      </c>
      <c r="C112" s="93"/>
      <c r="D112" s="93" t="s">
        <v>21</v>
      </c>
      <c r="E112" s="93">
        <v>28</v>
      </c>
      <c r="F112" s="93">
        <f t="shared" si="22"/>
        <v>0</v>
      </c>
      <c r="G112" s="93">
        <v>40</v>
      </c>
      <c r="H112" s="93">
        <f t="shared" si="23"/>
        <v>0</v>
      </c>
      <c r="I112" s="95" t="s">
        <v>52</v>
      </c>
      <c r="J112" s="96"/>
      <c r="K112" s="96"/>
      <c r="L112" s="96"/>
    </row>
    <row r="113" s="13" customFormat="1" ht="16" customHeight="1" spans="1:12">
      <c r="A113" s="93">
        <v>3</v>
      </c>
      <c r="B113" s="88" t="s">
        <v>53</v>
      </c>
      <c r="C113" s="86"/>
      <c r="D113" s="86" t="s">
        <v>18</v>
      </c>
      <c r="E113" s="86">
        <v>0</v>
      </c>
      <c r="F113" s="86">
        <f t="shared" si="22"/>
        <v>0</v>
      </c>
      <c r="G113" s="86">
        <v>9</v>
      </c>
      <c r="H113" s="86">
        <f t="shared" si="23"/>
        <v>0</v>
      </c>
      <c r="I113" s="92" t="s">
        <v>54</v>
      </c>
      <c r="J113" s="89"/>
      <c r="K113" s="89"/>
      <c r="L113" s="89"/>
    </row>
    <row r="114" s="12" customFormat="1" ht="15" customHeight="1" spans="1:12">
      <c r="A114" s="93">
        <v>4</v>
      </c>
      <c r="B114" s="88" t="s">
        <v>55</v>
      </c>
      <c r="C114" s="86"/>
      <c r="D114" s="86" t="s">
        <v>15</v>
      </c>
      <c r="E114" s="86">
        <v>8</v>
      </c>
      <c r="F114" s="86">
        <f t="shared" si="22"/>
        <v>0</v>
      </c>
      <c r="G114" s="86">
        <v>20</v>
      </c>
      <c r="H114" s="86">
        <f t="shared" si="23"/>
        <v>0</v>
      </c>
      <c r="I114" s="92" t="s">
        <v>87</v>
      </c>
      <c r="J114" s="97"/>
      <c r="K114" s="97"/>
      <c r="L114" s="97"/>
    </row>
    <row r="115" s="13" customFormat="1" ht="15" customHeight="1" spans="1:12">
      <c r="A115" s="93">
        <v>5</v>
      </c>
      <c r="B115" s="85" t="s">
        <v>29</v>
      </c>
      <c r="C115" s="86"/>
      <c r="D115" s="86" t="s">
        <v>18</v>
      </c>
      <c r="E115" s="86"/>
      <c r="F115" s="86">
        <f t="shared" si="22"/>
        <v>0</v>
      </c>
      <c r="G115" s="86">
        <v>2.5</v>
      </c>
      <c r="H115" s="86">
        <f t="shared" si="23"/>
        <v>0</v>
      </c>
      <c r="I115" s="92" t="s">
        <v>57</v>
      </c>
      <c r="J115" s="89"/>
      <c r="K115" s="89"/>
      <c r="L115" s="89"/>
    </row>
    <row r="116" s="15" customFormat="1" ht="14.25" customHeight="1" spans="1:12">
      <c r="A116" s="93">
        <v>6</v>
      </c>
      <c r="B116" s="50" t="s">
        <v>88</v>
      </c>
      <c r="C116" s="47"/>
      <c r="D116" s="47" t="s">
        <v>18</v>
      </c>
      <c r="E116" s="47">
        <v>160</v>
      </c>
      <c r="F116" s="47">
        <f t="shared" si="22"/>
        <v>0</v>
      </c>
      <c r="G116" s="47">
        <v>125</v>
      </c>
      <c r="H116" s="47">
        <f t="shared" si="23"/>
        <v>0</v>
      </c>
      <c r="I116" s="48" t="s">
        <v>89</v>
      </c>
      <c r="J116" s="98"/>
      <c r="K116" s="98"/>
      <c r="L116" s="98"/>
    </row>
    <row r="117" s="9" customFormat="1" ht="25" customHeight="1" spans="1:12">
      <c r="A117" s="93">
        <v>7</v>
      </c>
      <c r="B117" s="99" t="s">
        <v>90</v>
      </c>
      <c r="C117" s="100"/>
      <c r="D117" s="101" t="s">
        <v>32</v>
      </c>
      <c r="E117" s="101">
        <v>60</v>
      </c>
      <c r="F117" s="47">
        <f t="shared" si="22"/>
        <v>0</v>
      </c>
      <c r="G117" s="101">
        <v>35</v>
      </c>
      <c r="H117" s="47">
        <f t="shared" si="23"/>
        <v>0</v>
      </c>
      <c r="I117" s="102" t="s">
        <v>91</v>
      </c>
      <c r="J117" s="103"/>
      <c r="K117" s="103"/>
      <c r="L117" s="103"/>
    </row>
    <row r="118" s="9" customFormat="1" ht="15" customHeight="1" spans="1:12">
      <c r="A118" s="93">
        <v>8</v>
      </c>
      <c r="B118" s="104" t="s">
        <v>92</v>
      </c>
      <c r="C118" s="100"/>
      <c r="D118" s="100" t="s">
        <v>18</v>
      </c>
      <c r="E118" s="100">
        <v>22</v>
      </c>
      <c r="F118" s="47">
        <f t="shared" si="22"/>
        <v>0</v>
      </c>
      <c r="G118" s="100">
        <v>15</v>
      </c>
      <c r="H118" s="47">
        <f t="shared" si="23"/>
        <v>0</v>
      </c>
      <c r="I118" s="105" t="s">
        <v>61</v>
      </c>
      <c r="J118" s="106"/>
      <c r="K118" s="106"/>
      <c r="L118" s="106"/>
    </row>
    <row r="119" s="13" customFormat="1" ht="15" customHeight="1" spans="1:12">
      <c r="A119" s="93">
        <v>9</v>
      </c>
      <c r="B119" s="85" t="s">
        <v>45</v>
      </c>
      <c r="C119" s="86"/>
      <c r="D119" s="86" t="s">
        <v>18</v>
      </c>
      <c r="E119" s="86">
        <v>12</v>
      </c>
      <c r="F119" s="86">
        <f t="shared" si="22"/>
        <v>0</v>
      </c>
      <c r="G119" s="86">
        <v>5</v>
      </c>
      <c r="H119" s="86">
        <f t="shared" si="23"/>
        <v>0</v>
      </c>
      <c r="I119" s="92" t="s">
        <v>46</v>
      </c>
      <c r="J119" s="89"/>
      <c r="K119" s="89"/>
      <c r="L119" s="89"/>
    </row>
    <row r="120" s="16" customFormat="1" ht="16.5" customHeight="1" spans="1:12">
      <c r="A120" s="107"/>
      <c r="B120" s="108" t="s">
        <v>47</v>
      </c>
      <c r="C120" s="107"/>
      <c r="D120" s="107"/>
      <c r="E120" s="107"/>
      <c r="F120" s="107">
        <f>SUM(F111:F119)</f>
        <v>0</v>
      </c>
      <c r="G120" s="107"/>
      <c r="H120" s="107">
        <f>SUM(H111:H119)</f>
        <v>0</v>
      </c>
      <c r="I120" s="109"/>
      <c r="J120" s="110"/>
      <c r="K120" s="110"/>
      <c r="L120" s="110"/>
    </row>
    <row r="121" s="13" customFormat="1" ht="18" customHeight="1" spans="1:12">
      <c r="A121" s="90" t="s">
        <v>93</v>
      </c>
      <c r="B121" s="91" t="s">
        <v>94</v>
      </c>
      <c r="C121" s="86"/>
      <c r="D121" s="86"/>
      <c r="E121" s="86"/>
      <c r="F121" s="86"/>
      <c r="G121" s="86"/>
      <c r="H121" s="86"/>
      <c r="I121" s="92"/>
      <c r="J121" s="89"/>
      <c r="K121" s="89"/>
      <c r="L121" s="89"/>
    </row>
    <row r="122" s="14" customFormat="1" ht="27" customHeight="1" spans="1:12">
      <c r="A122" s="93">
        <v>1</v>
      </c>
      <c r="B122" s="94" t="s">
        <v>85</v>
      </c>
      <c r="C122" s="93"/>
      <c r="D122" s="93" t="s">
        <v>21</v>
      </c>
      <c r="E122" s="93">
        <v>28</v>
      </c>
      <c r="F122" s="93">
        <f t="shared" ref="F122:F126" si="24">C122*E122</f>
        <v>0</v>
      </c>
      <c r="G122" s="93">
        <v>32</v>
      </c>
      <c r="H122" s="93">
        <f t="shared" ref="H122:H126" si="25">SUM(G122*C122)</f>
        <v>0</v>
      </c>
      <c r="I122" s="95" t="s">
        <v>28</v>
      </c>
      <c r="J122" s="96"/>
      <c r="K122" s="96"/>
      <c r="L122" s="96"/>
    </row>
    <row r="123" s="14" customFormat="1" ht="15" customHeight="1" spans="1:12">
      <c r="A123" s="93">
        <v>2</v>
      </c>
      <c r="B123" s="94" t="s">
        <v>86</v>
      </c>
      <c r="C123" s="93"/>
      <c r="D123" s="93" t="s">
        <v>21</v>
      </c>
      <c r="E123" s="93">
        <v>28</v>
      </c>
      <c r="F123" s="93">
        <f t="shared" si="24"/>
        <v>0</v>
      </c>
      <c r="G123" s="93">
        <v>40</v>
      </c>
      <c r="H123" s="93">
        <f t="shared" si="25"/>
        <v>0</v>
      </c>
      <c r="I123" s="95" t="s">
        <v>52</v>
      </c>
      <c r="J123" s="96"/>
      <c r="K123" s="96"/>
      <c r="L123" s="96"/>
    </row>
    <row r="124" s="13" customFormat="1" ht="16" customHeight="1" spans="1:12">
      <c r="A124" s="93">
        <v>3</v>
      </c>
      <c r="B124" s="88" t="s">
        <v>53</v>
      </c>
      <c r="C124" s="86"/>
      <c r="D124" s="86" t="s">
        <v>18</v>
      </c>
      <c r="E124" s="86">
        <v>0</v>
      </c>
      <c r="F124" s="86">
        <f t="shared" si="24"/>
        <v>0</v>
      </c>
      <c r="G124" s="86">
        <v>9</v>
      </c>
      <c r="H124" s="86">
        <f t="shared" si="25"/>
        <v>0</v>
      </c>
      <c r="I124" s="92" t="s">
        <v>54</v>
      </c>
      <c r="J124" s="89"/>
      <c r="K124" s="89"/>
      <c r="L124" s="89"/>
    </row>
    <row r="125" s="12" customFormat="1" ht="15" customHeight="1" spans="1:12">
      <c r="A125" s="93">
        <v>4</v>
      </c>
      <c r="B125" s="88" t="s">
        <v>55</v>
      </c>
      <c r="C125" s="86"/>
      <c r="D125" s="86" t="s">
        <v>15</v>
      </c>
      <c r="E125" s="86">
        <v>8</v>
      </c>
      <c r="F125" s="86">
        <f t="shared" si="24"/>
        <v>0</v>
      </c>
      <c r="G125" s="86">
        <v>20</v>
      </c>
      <c r="H125" s="86">
        <f t="shared" si="25"/>
        <v>0</v>
      </c>
      <c r="I125" s="92" t="s">
        <v>87</v>
      </c>
      <c r="J125" s="97"/>
      <c r="K125" s="97"/>
      <c r="L125" s="97"/>
    </row>
    <row r="126" s="9" customFormat="1" ht="23.25" customHeight="1" spans="1:12">
      <c r="A126" s="49">
        <v>97</v>
      </c>
      <c r="B126" s="53" t="s">
        <v>95</v>
      </c>
      <c r="C126" s="49"/>
      <c r="D126" s="49" t="s">
        <v>32</v>
      </c>
      <c r="E126" s="49">
        <v>185</v>
      </c>
      <c r="F126" s="47">
        <f t="shared" si="24"/>
        <v>0</v>
      </c>
      <c r="G126" s="49">
        <v>95</v>
      </c>
      <c r="H126" s="47">
        <f t="shared" si="25"/>
        <v>0</v>
      </c>
      <c r="I126" s="63" t="s">
        <v>96</v>
      </c>
    </row>
    <row r="127" s="13" customFormat="1" ht="15" customHeight="1" spans="1:12">
      <c r="A127" s="93">
        <v>5</v>
      </c>
      <c r="B127" s="85" t="s">
        <v>29</v>
      </c>
      <c r="C127" s="86"/>
      <c r="D127" s="86" t="s">
        <v>18</v>
      </c>
      <c r="E127" s="86"/>
      <c r="F127" s="86">
        <f t="shared" ref="F127:F134" si="26">C127*E127</f>
        <v>0</v>
      </c>
      <c r="G127" s="86">
        <v>2.5</v>
      </c>
      <c r="H127" s="86">
        <f t="shared" ref="H127:H134" si="27">SUM(G127*C127)</f>
        <v>0</v>
      </c>
      <c r="I127" s="92" t="s">
        <v>57</v>
      </c>
      <c r="J127" s="89"/>
      <c r="K127" s="89"/>
      <c r="L127" s="89"/>
    </row>
    <row r="128" s="15" customFormat="1" ht="14.25" customHeight="1" spans="1:12">
      <c r="A128" s="93">
        <v>6</v>
      </c>
      <c r="B128" s="50" t="s">
        <v>88</v>
      </c>
      <c r="C128" s="47"/>
      <c r="D128" s="47" t="s">
        <v>18</v>
      </c>
      <c r="E128" s="47">
        <v>160</v>
      </c>
      <c r="F128" s="47">
        <f t="shared" si="26"/>
        <v>0</v>
      </c>
      <c r="G128" s="47">
        <v>125</v>
      </c>
      <c r="H128" s="47">
        <f t="shared" si="27"/>
        <v>0</v>
      </c>
      <c r="I128" s="48" t="s">
        <v>89</v>
      </c>
      <c r="J128" s="98"/>
      <c r="K128" s="98"/>
      <c r="L128" s="98"/>
    </row>
    <row r="129" s="9" customFormat="1" ht="25" customHeight="1" spans="1:12">
      <c r="A129" s="93">
        <v>7</v>
      </c>
      <c r="B129" s="99" t="s">
        <v>90</v>
      </c>
      <c r="C129" s="100"/>
      <c r="D129" s="101" t="s">
        <v>32</v>
      </c>
      <c r="E129" s="101">
        <v>60</v>
      </c>
      <c r="F129" s="47">
        <f t="shared" si="26"/>
        <v>0</v>
      </c>
      <c r="G129" s="101">
        <v>35</v>
      </c>
      <c r="H129" s="47">
        <f t="shared" si="27"/>
        <v>0</v>
      </c>
      <c r="I129" s="102" t="s">
        <v>91</v>
      </c>
      <c r="J129" s="103"/>
      <c r="K129" s="103"/>
      <c r="L129" s="103"/>
    </row>
    <row r="130" s="9" customFormat="1" ht="15" customHeight="1" spans="1:12">
      <c r="A130" s="93">
        <v>8</v>
      </c>
      <c r="B130" s="104" t="s">
        <v>92</v>
      </c>
      <c r="C130" s="100"/>
      <c r="D130" s="100" t="s">
        <v>18</v>
      </c>
      <c r="E130" s="100">
        <v>22</v>
      </c>
      <c r="F130" s="47">
        <f t="shared" si="26"/>
        <v>0</v>
      </c>
      <c r="G130" s="100">
        <v>15</v>
      </c>
      <c r="H130" s="47">
        <f t="shared" si="27"/>
        <v>0</v>
      </c>
      <c r="I130" s="105" t="s">
        <v>61</v>
      </c>
      <c r="J130" s="106"/>
      <c r="K130" s="106"/>
      <c r="L130" s="106"/>
    </row>
    <row r="131" s="13" customFormat="1" ht="15" customHeight="1" spans="1:12">
      <c r="A131" s="93">
        <v>9</v>
      </c>
      <c r="B131" s="85" t="s">
        <v>45</v>
      </c>
      <c r="C131" s="86"/>
      <c r="D131" s="86" t="s">
        <v>18</v>
      </c>
      <c r="E131" s="86">
        <v>12</v>
      </c>
      <c r="F131" s="86">
        <f t="shared" si="26"/>
        <v>0</v>
      </c>
      <c r="G131" s="86">
        <v>5</v>
      </c>
      <c r="H131" s="86">
        <f t="shared" si="27"/>
        <v>0</v>
      </c>
      <c r="I131" s="92" t="s">
        <v>46</v>
      </c>
      <c r="J131" s="89"/>
      <c r="K131" s="89"/>
      <c r="L131" s="89"/>
    </row>
    <row r="132" s="16" customFormat="1" ht="16.5" customHeight="1" spans="1:12">
      <c r="A132" s="107"/>
      <c r="B132" s="108" t="s">
        <v>47</v>
      </c>
      <c r="C132" s="107"/>
      <c r="D132" s="107"/>
      <c r="E132" s="107"/>
      <c r="F132" s="107">
        <f>SUM(F122:F131)</f>
        <v>0</v>
      </c>
      <c r="G132" s="107"/>
      <c r="H132" s="107">
        <f>SUM(H122:H131)</f>
        <v>0</v>
      </c>
      <c r="I132" s="109"/>
      <c r="J132" s="110"/>
      <c r="K132" s="110"/>
      <c r="L132" s="110"/>
    </row>
    <row r="133" s="13" customFormat="1" ht="18" customHeight="1" spans="1:12">
      <c r="A133" s="111"/>
      <c r="B133" s="112" t="s">
        <v>97</v>
      </c>
      <c r="C133" s="112"/>
      <c r="D133" s="112"/>
      <c r="E133" s="112"/>
      <c r="F133" s="86"/>
      <c r="G133" s="86"/>
      <c r="H133" s="86"/>
      <c r="I133" s="92"/>
      <c r="J133" s="89"/>
      <c r="K133" s="89"/>
      <c r="L133" s="89"/>
    </row>
    <row r="134" s="12" customFormat="1" ht="18" customHeight="1" spans="1:12">
      <c r="A134" s="90" t="s">
        <v>12</v>
      </c>
      <c r="B134" s="91" t="s">
        <v>98</v>
      </c>
      <c r="C134" s="86"/>
      <c r="D134" s="86"/>
      <c r="E134" s="86"/>
      <c r="F134" s="86"/>
      <c r="G134" s="86"/>
      <c r="H134" s="86"/>
      <c r="I134" s="92"/>
      <c r="J134" s="89"/>
      <c r="K134" s="89"/>
      <c r="L134" s="89"/>
    </row>
    <row r="135" s="12" customFormat="1" ht="15" customHeight="1" spans="1:12">
      <c r="A135" s="113">
        <v>1</v>
      </c>
      <c r="B135" s="85" t="s">
        <v>14</v>
      </c>
      <c r="C135" s="86"/>
      <c r="D135" s="86" t="s">
        <v>15</v>
      </c>
      <c r="E135" s="86">
        <v>70</v>
      </c>
      <c r="F135" s="86">
        <f>C135*E135</f>
        <v>0</v>
      </c>
      <c r="G135" s="87">
        <v>25</v>
      </c>
      <c r="H135" s="86">
        <f t="shared" ref="H135:H141" si="28">SUM(G135*C135)</f>
        <v>0</v>
      </c>
      <c r="I135" s="88" t="s">
        <v>16</v>
      </c>
      <c r="J135" s="89"/>
      <c r="K135" s="89"/>
      <c r="L135" s="89"/>
    </row>
    <row r="136" s="14" customFormat="1" ht="31" customHeight="1" spans="1:12">
      <c r="A136" s="113">
        <v>2</v>
      </c>
      <c r="B136" s="94" t="s">
        <v>99</v>
      </c>
      <c r="C136" s="93"/>
      <c r="D136" s="93" t="s">
        <v>21</v>
      </c>
      <c r="E136" s="93">
        <v>28</v>
      </c>
      <c r="F136" s="93">
        <f>C136*E136</f>
        <v>0</v>
      </c>
      <c r="G136" s="93">
        <v>71</v>
      </c>
      <c r="H136" s="93">
        <f t="shared" si="28"/>
        <v>0</v>
      </c>
      <c r="I136" s="95" t="s">
        <v>28</v>
      </c>
      <c r="J136" s="96"/>
      <c r="K136" s="96"/>
      <c r="L136" s="96"/>
    </row>
    <row r="137" s="12" customFormat="1" ht="26" customHeight="1" spans="1:12">
      <c r="A137" s="113">
        <v>3</v>
      </c>
      <c r="B137" s="114" t="s">
        <v>20</v>
      </c>
      <c r="C137" s="115"/>
      <c r="D137" s="93" t="s">
        <v>21</v>
      </c>
      <c r="E137" s="93">
        <v>125</v>
      </c>
      <c r="F137" s="93">
        <f>C137*E137</f>
        <v>0</v>
      </c>
      <c r="G137" s="93">
        <v>65</v>
      </c>
      <c r="H137" s="93">
        <f t="shared" si="28"/>
        <v>0</v>
      </c>
      <c r="I137" s="95" t="s">
        <v>22</v>
      </c>
      <c r="J137" s="13"/>
      <c r="K137" s="13"/>
      <c r="L137" s="13"/>
    </row>
    <row r="138" s="12" customFormat="1" ht="16.5" customHeight="1" spans="1:12">
      <c r="A138" s="113">
        <v>4</v>
      </c>
      <c r="B138" s="85" t="s">
        <v>34</v>
      </c>
      <c r="C138" s="86"/>
      <c r="D138" s="113" t="s">
        <v>32</v>
      </c>
      <c r="E138" s="86">
        <v>2</v>
      </c>
      <c r="F138" s="86">
        <f>C138*E138</f>
        <v>0</v>
      </c>
      <c r="G138" s="86">
        <v>4</v>
      </c>
      <c r="H138" s="86">
        <f t="shared" si="28"/>
        <v>0</v>
      </c>
      <c r="I138" s="92" t="s">
        <v>35</v>
      </c>
      <c r="J138" s="89"/>
      <c r="K138" s="89"/>
      <c r="L138" s="89"/>
    </row>
    <row r="139" s="12" customFormat="1" ht="26.25" customHeight="1" spans="1:12">
      <c r="A139" s="113">
        <v>5</v>
      </c>
      <c r="B139" s="85" t="s">
        <v>36</v>
      </c>
      <c r="C139" s="86"/>
      <c r="D139" s="86" t="s">
        <v>18</v>
      </c>
      <c r="E139" s="86">
        <v>19</v>
      </c>
      <c r="F139" s="86">
        <f>C139*E139</f>
        <v>0</v>
      </c>
      <c r="G139" s="86">
        <v>13</v>
      </c>
      <c r="H139" s="86">
        <f t="shared" si="28"/>
        <v>0</v>
      </c>
      <c r="I139" s="92" t="s">
        <v>37</v>
      </c>
      <c r="J139" s="89"/>
      <c r="K139" s="89"/>
      <c r="L139" s="89"/>
    </row>
    <row r="140" s="12" customFormat="1" ht="27" customHeight="1" spans="1:12">
      <c r="A140" s="113">
        <v>6</v>
      </c>
      <c r="B140" s="85" t="s">
        <v>38</v>
      </c>
      <c r="C140" s="86"/>
      <c r="D140" s="86" t="s">
        <v>18</v>
      </c>
      <c r="E140" s="86">
        <v>12</v>
      </c>
      <c r="F140" s="86">
        <f t="shared" ref="F140:F153" si="29">C140*E140</f>
        <v>0</v>
      </c>
      <c r="G140" s="86">
        <v>7</v>
      </c>
      <c r="H140" s="86">
        <f t="shared" si="28"/>
        <v>0</v>
      </c>
      <c r="I140" s="92" t="s">
        <v>39</v>
      </c>
      <c r="J140" s="89"/>
      <c r="K140" s="89"/>
      <c r="L140" s="89"/>
    </row>
    <row r="141" s="12" customFormat="1" ht="15" customHeight="1" spans="1:12">
      <c r="A141" s="113">
        <v>7</v>
      </c>
      <c r="B141" s="85" t="s">
        <v>45</v>
      </c>
      <c r="C141" s="86"/>
      <c r="D141" s="86" t="s">
        <v>18</v>
      </c>
      <c r="E141" s="86">
        <v>12</v>
      </c>
      <c r="F141" s="86">
        <f t="shared" si="29"/>
        <v>0</v>
      </c>
      <c r="G141" s="86">
        <v>5</v>
      </c>
      <c r="H141" s="86">
        <f t="shared" si="28"/>
        <v>0</v>
      </c>
      <c r="I141" s="92" t="s">
        <v>46</v>
      </c>
      <c r="J141" s="89"/>
      <c r="K141" s="89"/>
      <c r="L141" s="89"/>
    </row>
    <row r="142" s="16" customFormat="1" ht="18" customHeight="1" spans="1:12">
      <c r="A142" s="107"/>
      <c r="B142" s="108" t="s">
        <v>47</v>
      </c>
      <c r="C142" s="107"/>
      <c r="D142" s="107"/>
      <c r="E142" s="107"/>
      <c r="F142" s="107">
        <f>SUM(F135:F141)</f>
        <v>0</v>
      </c>
      <c r="G142" s="107"/>
      <c r="H142" s="107">
        <f>SUM(H136:H141)</f>
        <v>0</v>
      </c>
      <c r="I142" s="109"/>
      <c r="J142" s="110"/>
      <c r="K142" s="110"/>
      <c r="L142" s="110"/>
    </row>
    <row r="143" s="9" customFormat="1" ht="18.75" customHeight="1" spans="1:12">
      <c r="A143" s="45" t="s">
        <v>48</v>
      </c>
      <c r="B143" s="71" t="s">
        <v>100</v>
      </c>
      <c r="C143" s="72"/>
      <c r="D143" s="72"/>
      <c r="E143" s="73"/>
      <c r="F143" s="47"/>
      <c r="G143" s="47"/>
      <c r="H143" s="47"/>
      <c r="I143" s="48"/>
      <c r="J143" s="40"/>
      <c r="K143" s="40"/>
      <c r="L143" s="40"/>
    </row>
    <row r="144" s="5" customFormat="1" ht="24" customHeight="1" spans="1:12">
      <c r="A144" s="56">
        <v>1</v>
      </c>
      <c r="B144" s="69" t="s">
        <v>85</v>
      </c>
      <c r="C144" s="56"/>
      <c r="D144" s="56" t="s">
        <v>21</v>
      </c>
      <c r="E144" s="56">
        <v>28</v>
      </c>
      <c r="F144" s="56">
        <f t="shared" si="29"/>
        <v>0</v>
      </c>
      <c r="G144" s="56">
        <v>32</v>
      </c>
      <c r="H144" s="56">
        <f>SUM(G144*C144)</f>
        <v>0</v>
      </c>
      <c r="I144" s="57" t="s">
        <v>28</v>
      </c>
      <c r="J144" s="61"/>
      <c r="K144" s="61"/>
      <c r="L144" s="61"/>
    </row>
    <row r="145" s="9" customFormat="1" ht="16.5" customHeight="1" spans="1:12">
      <c r="A145" s="56">
        <v>2</v>
      </c>
      <c r="B145" s="50" t="s">
        <v>24</v>
      </c>
      <c r="C145" s="47"/>
      <c r="D145" s="47" t="s">
        <v>25</v>
      </c>
      <c r="E145" s="47">
        <v>38</v>
      </c>
      <c r="F145" s="47">
        <f t="shared" si="29"/>
        <v>0</v>
      </c>
      <c r="G145" s="47">
        <v>22</v>
      </c>
      <c r="H145" s="47">
        <f>C145*G145</f>
        <v>0</v>
      </c>
      <c r="I145" s="48" t="s">
        <v>26</v>
      </c>
      <c r="J145" s="40"/>
      <c r="K145" s="40"/>
      <c r="L145" s="40"/>
    </row>
    <row r="146" s="12" customFormat="1" ht="15" customHeight="1" spans="1:12">
      <c r="A146" s="56">
        <v>3</v>
      </c>
      <c r="B146" s="85" t="s">
        <v>14</v>
      </c>
      <c r="C146" s="86"/>
      <c r="D146" s="86" t="s">
        <v>15</v>
      </c>
      <c r="E146" s="86">
        <v>70</v>
      </c>
      <c r="F146" s="86">
        <f t="shared" si="29"/>
        <v>0</v>
      </c>
      <c r="G146" s="87">
        <v>25</v>
      </c>
      <c r="H146" s="86">
        <f t="shared" ref="H146:H153" si="30">SUM(G146*C146)</f>
        <v>0</v>
      </c>
      <c r="I146" s="88" t="s">
        <v>16</v>
      </c>
      <c r="J146" s="89"/>
      <c r="K146" s="89"/>
      <c r="L146" s="89"/>
    </row>
    <row r="147" s="5" customFormat="1" ht="14" customHeight="1" spans="1:12">
      <c r="A147" s="56">
        <v>4</v>
      </c>
      <c r="B147" s="50" t="s">
        <v>29</v>
      </c>
      <c r="C147" s="47"/>
      <c r="D147" s="47" t="s">
        <v>18</v>
      </c>
      <c r="E147" s="47"/>
      <c r="F147" s="47">
        <f t="shared" si="29"/>
        <v>0</v>
      </c>
      <c r="G147" s="47">
        <v>2.5</v>
      </c>
      <c r="H147" s="47">
        <f t="shared" si="30"/>
        <v>0</v>
      </c>
      <c r="I147" s="48" t="s">
        <v>57</v>
      </c>
      <c r="J147" s="40"/>
      <c r="K147" s="40"/>
      <c r="L147" s="40"/>
    </row>
    <row r="148" s="9" customFormat="1" ht="17" customHeight="1" spans="1:12">
      <c r="A148" s="56">
        <v>5</v>
      </c>
      <c r="B148" s="53" t="s">
        <v>17</v>
      </c>
      <c r="C148" s="49"/>
      <c r="D148" s="47" t="s">
        <v>18</v>
      </c>
      <c r="E148" s="49">
        <v>95</v>
      </c>
      <c r="F148" s="47">
        <f t="shared" si="29"/>
        <v>0</v>
      </c>
      <c r="G148" s="49">
        <v>55</v>
      </c>
      <c r="H148" s="47">
        <f t="shared" si="30"/>
        <v>0</v>
      </c>
      <c r="I148" s="48" t="s">
        <v>19</v>
      </c>
    </row>
    <row r="149" s="12" customFormat="1" ht="26" customHeight="1" spans="1:12">
      <c r="A149" s="56">
        <v>6</v>
      </c>
      <c r="B149" s="114" t="s">
        <v>20</v>
      </c>
      <c r="C149" s="115"/>
      <c r="D149" s="93" t="s">
        <v>21</v>
      </c>
      <c r="E149" s="93">
        <v>125</v>
      </c>
      <c r="F149" s="93">
        <f t="shared" si="29"/>
        <v>0</v>
      </c>
      <c r="G149" s="93">
        <v>65</v>
      </c>
      <c r="H149" s="93">
        <f t="shared" si="30"/>
        <v>0</v>
      </c>
      <c r="I149" s="95" t="s">
        <v>22</v>
      </c>
      <c r="J149" s="13"/>
      <c r="K149" s="13"/>
      <c r="L149" s="13"/>
    </row>
    <row r="150" s="9" customFormat="1" ht="16.5" customHeight="1" spans="1:12">
      <c r="A150" s="56">
        <v>7</v>
      </c>
      <c r="B150" s="50" t="s">
        <v>34</v>
      </c>
      <c r="C150" s="47"/>
      <c r="D150" s="49" t="s">
        <v>32</v>
      </c>
      <c r="E150" s="47">
        <v>2</v>
      </c>
      <c r="F150" s="47">
        <f t="shared" si="29"/>
        <v>0</v>
      </c>
      <c r="G150" s="47">
        <v>4</v>
      </c>
      <c r="H150" s="47">
        <f t="shared" si="30"/>
        <v>0</v>
      </c>
      <c r="I150" s="48" t="s">
        <v>35</v>
      </c>
      <c r="J150" s="40"/>
      <c r="K150" s="40"/>
      <c r="L150" s="40"/>
    </row>
    <row r="151" s="9" customFormat="1" ht="26.25" customHeight="1" spans="1:12">
      <c r="A151" s="56">
        <v>8</v>
      </c>
      <c r="B151" s="50" t="s">
        <v>36</v>
      </c>
      <c r="C151" s="47"/>
      <c r="D151" s="47" t="s">
        <v>18</v>
      </c>
      <c r="E151" s="47">
        <v>19</v>
      </c>
      <c r="F151" s="47">
        <f t="shared" si="29"/>
        <v>0</v>
      </c>
      <c r="G151" s="47">
        <v>13</v>
      </c>
      <c r="H151" s="47">
        <f t="shared" si="30"/>
        <v>0</v>
      </c>
      <c r="I151" s="48" t="s">
        <v>37</v>
      </c>
      <c r="J151" s="40"/>
      <c r="K151" s="40"/>
      <c r="L151" s="40"/>
    </row>
    <row r="152" s="9" customFormat="1" ht="27" customHeight="1" spans="1:12">
      <c r="A152" s="56">
        <v>9</v>
      </c>
      <c r="B152" s="50" t="s">
        <v>38</v>
      </c>
      <c r="C152" s="47"/>
      <c r="D152" s="47" t="s">
        <v>18</v>
      </c>
      <c r="E152" s="47">
        <v>12</v>
      </c>
      <c r="F152" s="47">
        <f t="shared" si="29"/>
        <v>0</v>
      </c>
      <c r="G152" s="47">
        <v>7</v>
      </c>
      <c r="H152" s="47">
        <f t="shared" si="30"/>
        <v>0</v>
      </c>
      <c r="I152" s="48" t="s">
        <v>39</v>
      </c>
      <c r="J152" s="40"/>
      <c r="K152" s="40"/>
      <c r="L152" s="40"/>
    </row>
    <row r="153" s="9" customFormat="1" ht="15" customHeight="1" spans="1:12">
      <c r="A153" s="56">
        <v>10</v>
      </c>
      <c r="B153" s="50" t="s">
        <v>45</v>
      </c>
      <c r="C153" s="47"/>
      <c r="D153" s="47" t="s">
        <v>18</v>
      </c>
      <c r="E153" s="47">
        <v>12</v>
      </c>
      <c r="F153" s="47">
        <f t="shared" si="29"/>
        <v>0</v>
      </c>
      <c r="G153" s="47">
        <v>5</v>
      </c>
      <c r="H153" s="47">
        <f t="shared" si="30"/>
        <v>0</v>
      </c>
      <c r="I153" s="48" t="s">
        <v>46</v>
      </c>
      <c r="J153" s="40"/>
      <c r="K153" s="40"/>
      <c r="L153" s="40"/>
    </row>
    <row r="154" s="6" customFormat="1" ht="18" customHeight="1" spans="1:12">
      <c r="A154" s="64"/>
      <c r="B154" s="65" t="s">
        <v>47</v>
      </c>
      <c r="C154" s="64"/>
      <c r="D154" s="64"/>
      <c r="E154" s="64"/>
      <c r="F154" s="64">
        <f>SUM(F144:F153)</f>
        <v>0</v>
      </c>
      <c r="G154" s="64"/>
      <c r="H154" s="64">
        <f>SUM(H144:H153)</f>
        <v>0</v>
      </c>
      <c r="I154" s="66"/>
      <c r="J154" s="67"/>
      <c r="K154" s="67"/>
      <c r="L154" s="67"/>
    </row>
    <row r="155" s="9" customFormat="1" ht="18" customHeight="1" spans="1:12">
      <c r="A155" s="45" t="s">
        <v>64</v>
      </c>
      <c r="B155" s="46" t="s">
        <v>101</v>
      </c>
      <c r="C155" s="47"/>
      <c r="D155" s="47"/>
      <c r="E155" s="47"/>
      <c r="F155" s="47"/>
      <c r="G155" s="47"/>
      <c r="H155" s="47"/>
      <c r="I155" s="48"/>
      <c r="J155" s="40"/>
      <c r="K155" s="40"/>
      <c r="L155" s="40"/>
    </row>
    <row r="156" s="5" customFormat="1" ht="27" customHeight="1" spans="1:12">
      <c r="A156" s="56">
        <v>1</v>
      </c>
      <c r="B156" s="69" t="s">
        <v>85</v>
      </c>
      <c r="C156" s="56"/>
      <c r="D156" s="56" t="s">
        <v>21</v>
      </c>
      <c r="E156" s="56">
        <v>28</v>
      </c>
      <c r="F156" s="56">
        <f t="shared" ref="F156:F164" si="31">C156*E156</f>
        <v>0</v>
      </c>
      <c r="G156" s="56">
        <v>32</v>
      </c>
      <c r="H156" s="56">
        <f t="shared" ref="H156:H164" si="32">SUM(G156*C156)</f>
        <v>0</v>
      </c>
      <c r="I156" s="57" t="s">
        <v>28</v>
      </c>
      <c r="J156" s="61"/>
      <c r="K156" s="61"/>
      <c r="L156" s="61"/>
    </row>
    <row r="157" s="5" customFormat="1" ht="15" customHeight="1" spans="1:12">
      <c r="A157" s="56">
        <v>2</v>
      </c>
      <c r="B157" s="69" t="s">
        <v>51</v>
      </c>
      <c r="C157" s="56"/>
      <c r="D157" s="56" t="s">
        <v>21</v>
      </c>
      <c r="E157" s="56">
        <v>28</v>
      </c>
      <c r="F157" s="56">
        <f t="shared" si="31"/>
        <v>0</v>
      </c>
      <c r="G157" s="56">
        <v>40</v>
      </c>
      <c r="H157" s="56">
        <f t="shared" si="32"/>
        <v>0</v>
      </c>
      <c r="I157" s="57" t="s">
        <v>52</v>
      </c>
      <c r="J157" s="61"/>
      <c r="K157" s="61"/>
      <c r="L157" s="61"/>
    </row>
    <row r="158" s="9" customFormat="1" ht="16" customHeight="1" spans="1:12">
      <c r="A158" s="56">
        <v>3</v>
      </c>
      <c r="B158" s="52" t="s">
        <v>53</v>
      </c>
      <c r="C158" s="47"/>
      <c r="D158" s="47" t="s">
        <v>18</v>
      </c>
      <c r="E158" s="47">
        <v>0</v>
      </c>
      <c r="F158" s="47">
        <f t="shared" si="31"/>
        <v>0</v>
      </c>
      <c r="G158" s="47">
        <v>9</v>
      </c>
      <c r="H158" s="47">
        <f t="shared" si="32"/>
        <v>0</v>
      </c>
      <c r="I158" s="48" t="s">
        <v>54</v>
      </c>
      <c r="J158" s="40"/>
      <c r="K158" s="40"/>
      <c r="L158" s="40"/>
    </row>
    <row r="159" s="7" customFormat="1" ht="15" customHeight="1" spans="1:12">
      <c r="A159" s="56">
        <v>4</v>
      </c>
      <c r="B159" s="52" t="s">
        <v>55</v>
      </c>
      <c r="C159" s="47"/>
      <c r="D159" s="47" t="s">
        <v>15</v>
      </c>
      <c r="E159" s="47">
        <v>8</v>
      </c>
      <c r="F159" s="47">
        <f t="shared" si="31"/>
        <v>0</v>
      </c>
      <c r="G159" s="47">
        <v>20</v>
      </c>
      <c r="H159" s="47">
        <f t="shared" si="32"/>
        <v>0</v>
      </c>
      <c r="I159" s="48" t="s">
        <v>87</v>
      </c>
      <c r="J159" s="70"/>
      <c r="K159" s="70"/>
      <c r="L159" s="70"/>
    </row>
    <row r="160" s="9" customFormat="1" ht="15" customHeight="1" spans="1:12">
      <c r="A160" s="56">
        <v>5</v>
      </c>
      <c r="B160" s="50" t="s">
        <v>29</v>
      </c>
      <c r="C160" s="47"/>
      <c r="D160" s="47" t="s">
        <v>18</v>
      </c>
      <c r="E160" s="47"/>
      <c r="F160" s="47">
        <f t="shared" si="31"/>
        <v>0</v>
      </c>
      <c r="G160" s="47">
        <v>2.5</v>
      </c>
      <c r="H160" s="47">
        <f t="shared" si="32"/>
        <v>0</v>
      </c>
      <c r="I160" s="48" t="s">
        <v>57</v>
      </c>
      <c r="J160" s="40"/>
      <c r="K160" s="40"/>
      <c r="L160" s="40"/>
    </row>
    <row r="161" s="9" customFormat="1" ht="15" customHeight="1" spans="1:12">
      <c r="A161" s="56">
        <v>6</v>
      </c>
      <c r="B161" s="50" t="s">
        <v>58</v>
      </c>
      <c r="C161" s="47"/>
      <c r="D161" s="47" t="s">
        <v>18</v>
      </c>
      <c r="E161" s="47">
        <v>45</v>
      </c>
      <c r="F161" s="47">
        <f t="shared" si="31"/>
        <v>0</v>
      </c>
      <c r="G161" s="47">
        <v>20</v>
      </c>
      <c r="H161" s="47">
        <f t="shared" si="32"/>
        <v>0</v>
      </c>
      <c r="I161" s="48" t="s">
        <v>59</v>
      </c>
      <c r="J161" s="40"/>
      <c r="K161" s="40"/>
      <c r="L161" s="40"/>
    </row>
    <row r="162" s="9" customFormat="1" ht="14.25" customHeight="1" spans="1:12">
      <c r="A162" s="56">
        <v>7</v>
      </c>
      <c r="B162" s="50" t="s">
        <v>60</v>
      </c>
      <c r="C162" s="47"/>
      <c r="D162" s="47" t="s">
        <v>18</v>
      </c>
      <c r="E162" s="47">
        <v>22</v>
      </c>
      <c r="F162" s="47">
        <f t="shared" si="31"/>
        <v>0</v>
      </c>
      <c r="G162" s="47">
        <v>12</v>
      </c>
      <c r="H162" s="47">
        <f t="shared" si="32"/>
        <v>0</v>
      </c>
      <c r="I162" s="48" t="s">
        <v>61</v>
      </c>
      <c r="J162" s="40"/>
      <c r="K162" s="40"/>
      <c r="L162" s="40"/>
    </row>
    <row r="163" s="9" customFormat="1" ht="15" customHeight="1" spans="1:12">
      <c r="A163" s="56">
        <v>8</v>
      </c>
      <c r="B163" s="50" t="s">
        <v>62</v>
      </c>
      <c r="C163" s="47"/>
      <c r="D163" s="47" t="s">
        <v>18</v>
      </c>
      <c r="E163" s="47">
        <v>45</v>
      </c>
      <c r="F163" s="47">
        <f t="shared" si="31"/>
        <v>0</v>
      </c>
      <c r="G163" s="47">
        <v>20</v>
      </c>
      <c r="H163" s="47">
        <f t="shared" si="32"/>
        <v>0</v>
      </c>
      <c r="I163" s="48" t="s">
        <v>63</v>
      </c>
      <c r="J163" s="40"/>
      <c r="K163" s="40"/>
      <c r="L163" s="40"/>
    </row>
    <row r="164" s="9" customFormat="1" ht="15" customHeight="1" spans="1:12">
      <c r="A164" s="56">
        <v>9</v>
      </c>
      <c r="B164" s="50" t="s">
        <v>45</v>
      </c>
      <c r="C164" s="47"/>
      <c r="D164" s="47" t="s">
        <v>18</v>
      </c>
      <c r="E164" s="47">
        <v>12</v>
      </c>
      <c r="F164" s="47">
        <f t="shared" si="31"/>
        <v>0</v>
      </c>
      <c r="G164" s="47">
        <v>5</v>
      </c>
      <c r="H164" s="47">
        <f t="shared" si="32"/>
        <v>0</v>
      </c>
      <c r="I164" s="48" t="s">
        <v>46</v>
      </c>
      <c r="J164" s="40"/>
      <c r="K164" s="40"/>
      <c r="L164" s="40"/>
    </row>
    <row r="165" s="6" customFormat="1" ht="16.5" customHeight="1" spans="1:12">
      <c r="A165" s="64"/>
      <c r="B165" s="65" t="s">
        <v>47</v>
      </c>
      <c r="C165" s="64"/>
      <c r="D165" s="64"/>
      <c r="E165" s="64"/>
      <c r="F165" s="64">
        <f>SUM(F156:F164)</f>
        <v>0</v>
      </c>
      <c r="G165" s="64"/>
      <c r="H165" s="64">
        <f>SUM(H156:H164)</f>
        <v>0</v>
      </c>
      <c r="I165" s="66"/>
      <c r="J165" s="67"/>
      <c r="K165" s="67"/>
      <c r="L165" s="67"/>
    </row>
    <row r="166" s="9" customFormat="1" ht="18" customHeight="1" spans="1:12">
      <c r="A166" s="45" t="s">
        <v>66</v>
      </c>
      <c r="B166" s="46" t="s">
        <v>102</v>
      </c>
      <c r="C166" s="47"/>
      <c r="D166" s="47"/>
      <c r="E166" s="47"/>
      <c r="F166" s="47"/>
      <c r="G166" s="47"/>
      <c r="H166" s="47"/>
      <c r="I166" s="48"/>
      <c r="J166" s="40"/>
      <c r="K166" s="40"/>
      <c r="L166" s="40"/>
    </row>
    <row r="167" s="5" customFormat="1" ht="24" customHeight="1" spans="1:12">
      <c r="A167" s="56">
        <v>1</v>
      </c>
      <c r="B167" s="69" t="s">
        <v>85</v>
      </c>
      <c r="C167" s="56"/>
      <c r="D167" s="56" t="s">
        <v>21</v>
      </c>
      <c r="E167" s="56">
        <v>28</v>
      </c>
      <c r="F167" s="56">
        <f t="shared" ref="F167:F173" si="33">C167*E167</f>
        <v>0</v>
      </c>
      <c r="G167" s="56">
        <v>32</v>
      </c>
      <c r="H167" s="56">
        <f>SUM(G167*C167)</f>
        <v>0</v>
      </c>
      <c r="I167" s="57" t="s">
        <v>28</v>
      </c>
      <c r="J167" s="61"/>
      <c r="K167" s="61"/>
      <c r="L167" s="61"/>
    </row>
    <row r="168" s="9" customFormat="1" ht="16.5" customHeight="1" spans="1:12">
      <c r="A168" s="56">
        <v>2</v>
      </c>
      <c r="B168" s="50" t="s">
        <v>24</v>
      </c>
      <c r="C168" s="47"/>
      <c r="D168" s="47" t="s">
        <v>25</v>
      </c>
      <c r="E168" s="47">
        <v>38</v>
      </c>
      <c r="F168" s="47">
        <f t="shared" si="33"/>
        <v>0</v>
      </c>
      <c r="G168" s="47">
        <v>22</v>
      </c>
      <c r="H168" s="47">
        <f>C168*G168</f>
        <v>0</v>
      </c>
      <c r="I168" s="48" t="s">
        <v>26</v>
      </c>
      <c r="J168" s="40"/>
      <c r="K168" s="40"/>
      <c r="L168" s="40"/>
    </row>
    <row r="169" s="12" customFormat="1" ht="14" customHeight="1" spans="1:12">
      <c r="A169" s="56">
        <v>3</v>
      </c>
      <c r="B169" s="85" t="s">
        <v>14</v>
      </c>
      <c r="C169" s="86"/>
      <c r="D169" s="86" t="s">
        <v>15</v>
      </c>
      <c r="E169" s="86">
        <v>70</v>
      </c>
      <c r="F169" s="86">
        <f t="shared" si="33"/>
        <v>0</v>
      </c>
      <c r="G169" s="87">
        <v>25</v>
      </c>
      <c r="H169" s="86">
        <f>SUM(G169*C169)</f>
        <v>0</v>
      </c>
      <c r="I169" s="88" t="s">
        <v>16</v>
      </c>
      <c r="J169" s="89"/>
      <c r="K169" s="89"/>
      <c r="L169" s="89"/>
    </row>
    <row r="170" s="5" customFormat="1" ht="14" customHeight="1" spans="1:12">
      <c r="A170" s="56">
        <v>4</v>
      </c>
      <c r="B170" s="50" t="s">
        <v>29</v>
      </c>
      <c r="C170" s="47"/>
      <c r="D170" s="47" t="s">
        <v>18</v>
      </c>
      <c r="E170" s="47"/>
      <c r="F170" s="47">
        <f t="shared" si="33"/>
        <v>0</v>
      </c>
      <c r="G170" s="47">
        <v>2.5</v>
      </c>
      <c r="H170" s="47">
        <f>SUM(G170*C170)</f>
        <v>0</v>
      </c>
      <c r="I170" s="48" t="s">
        <v>57</v>
      </c>
      <c r="J170" s="40"/>
      <c r="K170" s="40"/>
      <c r="L170" s="40"/>
    </row>
    <row r="171" s="12" customFormat="1" ht="26" customHeight="1" spans="1:12">
      <c r="A171" s="56">
        <v>5</v>
      </c>
      <c r="B171" s="114" t="s">
        <v>20</v>
      </c>
      <c r="C171" s="115"/>
      <c r="D171" s="93" t="s">
        <v>21</v>
      </c>
      <c r="E171" s="93">
        <v>125</v>
      </c>
      <c r="F171" s="93">
        <f t="shared" si="33"/>
        <v>0</v>
      </c>
      <c r="G171" s="93">
        <v>65</v>
      </c>
      <c r="H171" s="93">
        <f>SUM(G171*C171)</f>
        <v>0</v>
      </c>
      <c r="I171" s="95" t="s">
        <v>22</v>
      </c>
      <c r="J171" s="13"/>
      <c r="K171" s="13"/>
      <c r="L171" s="13"/>
    </row>
    <row r="172" s="9" customFormat="1" ht="18" customHeight="1" spans="1:12">
      <c r="A172" s="56">
        <v>6</v>
      </c>
      <c r="B172" s="53" t="s">
        <v>17</v>
      </c>
      <c r="C172" s="49"/>
      <c r="D172" s="47" t="s">
        <v>18</v>
      </c>
      <c r="E172" s="49">
        <v>95</v>
      </c>
      <c r="F172" s="47">
        <f t="shared" si="33"/>
        <v>0</v>
      </c>
      <c r="G172" s="49">
        <v>55</v>
      </c>
      <c r="H172" s="47">
        <f>SUM(G172*C172)</f>
        <v>0</v>
      </c>
      <c r="I172" s="48" t="s">
        <v>19</v>
      </c>
    </row>
    <row r="173" s="9" customFormat="1" ht="16.5" customHeight="1" spans="1:12">
      <c r="A173" s="56">
        <v>7</v>
      </c>
      <c r="B173" s="50" t="s">
        <v>34</v>
      </c>
      <c r="C173" s="47"/>
      <c r="D173" s="49" t="s">
        <v>32</v>
      </c>
      <c r="E173" s="47">
        <v>2</v>
      </c>
      <c r="F173" s="47">
        <f t="shared" si="33"/>
        <v>0</v>
      </c>
      <c r="G173" s="47">
        <v>4</v>
      </c>
      <c r="H173" s="47">
        <f>SUM(G173*C173)</f>
        <v>0</v>
      </c>
      <c r="I173" s="48" t="s">
        <v>35</v>
      </c>
      <c r="J173" s="40"/>
      <c r="K173" s="40"/>
      <c r="L173" s="40"/>
    </row>
    <row r="174" s="9" customFormat="1" ht="26.25" customHeight="1" spans="1:12">
      <c r="A174" s="56">
        <v>8</v>
      </c>
      <c r="B174" s="50" t="s">
        <v>36</v>
      </c>
      <c r="C174" s="47"/>
      <c r="D174" s="47" t="s">
        <v>18</v>
      </c>
      <c r="E174" s="47">
        <v>19</v>
      </c>
      <c r="F174" s="47">
        <f t="shared" ref="F174:F187" si="34">C174*E174</f>
        <v>0</v>
      </c>
      <c r="G174" s="47">
        <v>13</v>
      </c>
      <c r="H174" s="47">
        <f t="shared" ref="H174:H187" si="35">SUM(G174*C174)</f>
        <v>0</v>
      </c>
      <c r="I174" s="48" t="s">
        <v>37</v>
      </c>
      <c r="J174" s="40"/>
      <c r="K174" s="40"/>
      <c r="L174" s="40"/>
    </row>
    <row r="175" s="9" customFormat="1" ht="27" customHeight="1" spans="1:12">
      <c r="A175" s="56">
        <v>9</v>
      </c>
      <c r="B175" s="50" t="s">
        <v>38</v>
      </c>
      <c r="C175" s="47"/>
      <c r="D175" s="47" t="s">
        <v>18</v>
      </c>
      <c r="E175" s="47">
        <v>12</v>
      </c>
      <c r="F175" s="47">
        <f t="shared" si="34"/>
        <v>0</v>
      </c>
      <c r="G175" s="47">
        <v>7</v>
      </c>
      <c r="H175" s="47">
        <f t="shared" si="35"/>
        <v>0</v>
      </c>
      <c r="I175" s="48" t="s">
        <v>39</v>
      </c>
      <c r="J175" s="40"/>
      <c r="K175" s="40"/>
      <c r="L175" s="40"/>
    </row>
    <row r="176" s="9" customFormat="1" ht="15" customHeight="1" spans="1:12">
      <c r="A176" s="56">
        <v>10</v>
      </c>
      <c r="B176" s="50" t="s">
        <v>45</v>
      </c>
      <c r="C176" s="47"/>
      <c r="D176" s="47" t="s">
        <v>18</v>
      </c>
      <c r="E176" s="47">
        <v>12</v>
      </c>
      <c r="F176" s="47">
        <f t="shared" si="34"/>
        <v>0</v>
      </c>
      <c r="G176" s="47">
        <v>5</v>
      </c>
      <c r="H176" s="47">
        <f t="shared" si="35"/>
        <v>0</v>
      </c>
      <c r="I176" s="48" t="s">
        <v>46</v>
      </c>
      <c r="J176" s="40"/>
      <c r="K176" s="40"/>
      <c r="L176" s="40"/>
    </row>
    <row r="177" s="6" customFormat="1" ht="18" customHeight="1" spans="1:12">
      <c r="A177" s="64"/>
      <c r="B177" s="65" t="s">
        <v>47</v>
      </c>
      <c r="C177" s="64"/>
      <c r="D177" s="64"/>
      <c r="E177" s="64"/>
      <c r="F177" s="64">
        <f>SUM(F167:F176)</f>
        <v>0</v>
      </c>
      <c r="G177" s="64"/>
      <c r="H177" s="64">
        <f>SUM(H167:H176)</f>
        <v>0</v>
      </c>
      <c r="I177" s="66"/>
      <c r="J177" s="67"/>
      <c r="K177" s="67"/>
      <c r="L177" s="67"/>
    </row>
    <row r="178" s="9" customFormat="1" ht="18" customHeight="1" spans="1:12">
      <c r="A178" s="45" t="s">
        <v>81</v>
      </c>
      <c r="B178" s="46" t="s">
        <v>103</v>
      </c>
      <c r="C178" s="47"/>
      <c r="D178" s="47"/>
      <c r="E178" s="47"/>
      <c r="F178" s="47"/>
      <c r="G178" s="47"/>
      <c r="H178" s="47"/>
      <c r="I178" s="48"/>
      <c r="J178" s="40"/>
      <c r="K178" s="40"/>
      <c r="L178" s="40"/>
    </row>
    <row r="179" s="5" customFormat="1" ht="27" customHeight="1" spans="1:12">
      <c r="A179" s="56">
        <v>1</v>
      </c>
      <c r="B179" s="69" t="s">
        <v>85</v>
      </c>
      <c r="C179" s="56"/>
      <c r="D179" s="56" t="s">
        <v>21</v>
      </c>
      <c r="E179" s="56">
        <v>28</v>
      </c>
      <c r="F179" s="56">
        <f t="shared" si="34"/>
        <v>0</v>
      </c>
      <c r="G179" s="56">
        <v>32</v>
      </c>
      <c r="H179" s="56">
        <f t="shared" si="35"/>
        <v>0</v>
      </c>
      <c r="I179" s="57" t="s">
        <v>28</v>
      </c>
      <c r="J179" s="61"/>
      <c r="K179" s="61"/>
      <c r="L179" s="61"/>
    </row>
    <row r="180" s="5" customFormat="1" ht="15" customHeight="1" spans="1:12">
      <c r="A180" s="56">
        <v>2</v>
      </c>
      <c r="B180" s="69" t="s">
        <v>51</v>
      </c>
      <c r="C180" s="56"/>
      <c r="D180" s="56" t="s">
        <v>21</v>
      </c>
      <c r="E180" s="56">
        <v>28</v>
      </c>
      <c r="F180" s="56">
        <f t="shared" si="34"/>
        <v>0</v>
      </c>
      <c r="G180" s="56">
        <v>40</v>
      </c>
      <c r="H180" s="56">
        <f t="shared" si="35"/>
        <v>0</v>
      </c>
      <c r="I180" s="57" t="s">
        <v>52</v>
      </c>
      <c r="J180" s="61"/>
      <c r="K180" s="61"/>
      <c r="L180" s="61"/>
    </row>
    <row r="181" s="9" customFormat="1" ht="16" customHeight="1" spans="1:12">
      <c r="A181" s="56">
        <v>3</v>
      </c>
      <c r="B181" s="52" t="s">
        <v>53</v>
      </c>
      <c r="C181" s="47"/>
      <c r="D181" s="47" t="s">
        <v>18</v>
      </c>
      <c r="E181" s="47">
        <v>0</v>
      </c>
      <c r="F181" s="47">
        <f t="shared" si="34"/>
        <v>0</v>
      </c>
      <c r="G181" s="47">
        <v>9</v>
      </c>
      <c r="H181" s="47">
        <f t="shared" si="35"/>
        <v>0</v>
      </c>
      <c r="I181" s="48" t="s">
        <v>54</v>
      </c>
      <c r="J181" s="40"/>
      <c r="K181" s="40"/>
      <c r="L181" s="40"/>
    </row>
    <row r="182" s="7" customFormat="1" ht="15" customHeight="1" spans="1:12">
      <c r="A182" s="56">
        <v>4</v>
      </c>
      <c r="B182" s="52" t="s">
        <v>55</v>
      </c>
      <c r="C182" s="47"/>
      <c r="D182" s="47" t="s">
        <v>15</v>
      </c>
      <c r="E182" s="47">
        <v>8</v>
      </c>
      <c r="F182" s="47">
        <f t="shared" si="34"/>
        <v>0</v>
      </c>
      <c r="G182" s="47">
        <v>20</v>
      </c>
      <c r="H182" s="47">
        <f t="shared" si="35"/>
        <v>0</v>
      </c>
      <c r="I182" s="48" t="s">
        <v>87</v>
      </c>
      <c r="J182" s="70"/>
      <c r="K182" s="70"/>
      <c r="L182" s="70"/>
    </row>
    <row r="183" s="9" customFormat="1" ht="15" customHeight="1" spans="1:12">
      <c r="A183" s="56">
        <v>5</v>
      </c>
      <c r="B183" s="50" t="s">
        <v>29</v>
      </c>
      <c r="C183" s="47"/>
      <c r="D183" s="47" t="s">
        <v>18</v>
      </c>
      <c r="E183" s="47"/>
      <c r="F183" s="47">
        <f t="shared" si="34"/>
        <v>0</v>
      </c>
      <c r="G183" s="47">
        <v>2.5</v>
      </c>
      <c r="H183" s="47">
        <f t="shared" si="35"/>
        <v>0</v>
      </c>
      <c r="I183" s="48" t="s">
        <v>57</v>
      </c>
      <c r="J183" s="40"/>
      <c r="K183" s="40"/>
      <c r="L183" s="40"/>
    </row>
    <row r="184" s="9" customFormat="1" ht="15" customHeight="1" spans="1:12">
      <c r="A184" s="56">
        <v>6</v>
      </c>
      <c r="B184" s="50" t="s">
        <v>58</v>
      </c>
      <c r="C184" s="47"/>
      <c r="D184" s="47" t="s">
        <v>18</v>
      </c>
      <c r="E184" s="47">
        <v>45</v>
      </c>
      <c r="F184" s="47">
        <f t="shared" si="34"/>
        <v>0</v>
      </c>
      <c r="G184" s="47">
        <v>20</v>
      </c>
      <c r="H184" s="47">
        <f t="shared" si="35"/>
        <v>0</v>
      </c>
      <c r="I184" s="48" t="s">
        <v>59</v>
      </c>
      <c r="J184" s="40"/>
      <c r="K184" s="40"/>
      <c r="L184" s="40"/>
    </row>
    <row r="185" s="9" customFormat="1" ht="14.25" customHeight="1" spans="1:12">
      <c r="A185" s="56">
        <v>7</v>
      </c>
      <c r="B185" s="50" t="s">
        <v>60</v>
      </c>
      <c r="C185" s="47"/>
      <c r="D185" s="47" t="s">
        <v>18</v>
      </c>
      <c r="E185" s="47">
        <v>22</v>
      </c>
      <c r="F185" s="47">
        <f t="shared" si="34"/>
        <v>0</v>
      </c>
      <c r="G185" s="47">
        <v>12</v>
      </c>
      <c r="H185" s="47">
        <f t="shared" si="35"/>
        <v>0</v>
      </c>
      <c r="I185" s="48" t="s">
        <v>61</v>
      </c>
      <c r="J185" s="40"/>
      <c r="K185" s="40"/>
      <c r="L185" s="40"/>
    </row>
    <row r="186" s="9" customFormat="1" ht="15" customHeight="1" spans="1:12">
      <c r="A186" s="56">
        <v>8</v>
      </c>
      <c r="B186" s="50" t="s">
        <v>62</v>
      </c>
      <c r="C186" s="47"/>
      <c r="D186" s="47" t="s">
        <v>18</v>
      </c>
      <c r="E186" s="47">
        <v>45</v>
      </c>
      <c r="F186" s="47">
        <f t="shared" si="34"/>
        <v>0</v>
      </c>
      <c r="G186" s="47">
        <v>20</v>
      </c>
      <c r="H186" s="47">
        <f t="shared" si="35"/>
        <v>0</v>
      </c>
      <c r="I186" s="48" t="s">
        <v>63</v>
      </c>
      <c r="J186" s="40"/>
      <c r="K186" s="40"/>
      <c r="L186" s="40"/>
    </row>
    <row r="187" s="9" customFormat="1" ht="15" customHeight="1" spans="1:12">
      <c r="A187" s="56">
        <v>9</v>
      </c>
      <c r="B187" s="50" t="s">
        <v>45</v>
      </c>
      <c r="C187" s="47"/>
      <c r="D187" s="47" t="s">
        <v>18</v>
      </c>
      <c r="E187" s="47">
        <v>12</v>
      </c>
      <c r="F187" s="47">
        <f t="shared" si="34"/>
        <v>0</v>
      </c>
      <c r="G187" s="47">
        <v>5</v>
      </c>
      <c r="H187" s="47">
        <f t="shared" si="35"/>
        <v>0</v>
      </c>
      <c r="I187" s="48" t="s">
        <v>46</v>
      </c>
      <c r="J187" s="40"/>
      <c r="K187" s="40"/>
      <c r="L187" s="40"/>
    </row>
    <row r="188" s="6" customFormat="1" ht="16.5" customHeight="1" spans="1:12">
      <c r="A188" s="64"/>
      <c r="B188" s="65" t="s">
        <v>47</v>
      </c>
      <c r="C188" s="64"/>
      <c r="D188" s="64"/>
      <c r="E188" s="64"/>
      <c r="F188" s="64">
        <f>SUM(F179:F187)</f>
        <v>0</v>
      </c>
      <c r="G188" s="64"/>
      <c r="H188" s="64">
        <f>SUM(H179:H187)</f>
        <v>0</v>
      </c>
      <c r="I188" s="66"/>
      <c r="J188" s="67"/>
      <c r="K188" s="67"/>
      <c r="L188" s="67"/>
    </row>
    <row r="189" s="13" customFormat="1" ht="18" customHeight="1" spans="1:12">
      <c r="A189" s="90" t="s">
        <v>83</v>
      </c>
      <c r="B189" s="91" t="s">
        <v>84</v>
      </c>
      <c r="C189" s="86"/>
      <c r="D189" s="86"/>
      <c r="E189" s="86"/>
      <c r="F189" s="86"/>
      <c r="G189" s="86"/>
      <c r="H189" s="86"/>
      <c r="I189" s="92"/>
      <c r="J189" s="89"/>
      <c r="K189" s="89"/>
      <c r="L189" s="89"/>
    </row>
    <row r="190" s="14" customFormat="1" ht="27" customHeight="1" spans="1:12">
      <c r="A190" s="93">
        <v>1</v>
      </c>
      <c r="B190" s="94" t="s">
        <v>85</v>
      </c>
      <c r="C190" s="93"/>
      <c r="D190" s="93" t="s">
        <v>21</v>
      </c>
      <c r="E190" s="93">
        <v>28</v>
      </c>
      <c r="F190" s="93">
        <f t="shared" ref="F190:F202" si="36">C190*E190</f>
        <v>0</v>
      </c>
      <c r="G190" s="93">
        <v>32</v>
      </c>
      <c r="H190" s="93">
        <f t="shared" ref="H190:H202" si="37">SUM(G190*C190)</f>
        <v>0</v>
      </c>
      <c r="I190" s="95" t="s">
        <v>28</v>
      </c>
      <c r="J190" s="96"/>
      <c r="K190" s="96"/>
      <c r="L190" s="96"/>
    </row>
    <row r="191" s="14" customFormat="1" ht="15" customHeight="1" spans="1:12">
      <c r="A191" s="93">
        <v>2</v>
      </c>
      <c r="B191" s="94" t="s">
        <v>86</v>
      </c>
      <c r="C191" s="93"/>
      <c r="D191" s="93" t="s">
        <v>21</v>
      </c>
      <c r="E191" s="93">
        <v>28</v>
      </c>
      <c r="F191" s="93">
        <f t="shared" si="36"/>
        <v>0</v>
      </c>
      <c r="G191" s="93">
        <v>40</v>
      </c>
      <c r="H191" s="93">
        <f t="shared" si="37"/>
        <v>0</v>
      </c>
      <c r="I191" s="95" t="s">
        <v>52</v>
      </c>
      <c r="J191" s="96"/>
      <c r="K191" s="96"/>
      <c r="L191" s="96"/>
    </row>
    <row r="192" s="13" customFormat="1" ht="16" customHeight="1" spans="1:12">
      <c r="A192" s="93">
        <v>3</v>
      </c>
      <c r="B192" s="88" t="s">
        <v>53</v>
      </c>
      <c r="C192" s="86"/>
      <c r="D192" s="86" t="s">
        <v>18</v>
      </c>
      <c r="E192" s="86">
        <v>0</v>
      </c>
      <c r="F192" s="86">
        <f t="shared" si="36"/>
        <v>0</v>
      </c>
      <c r="G192" s="86">
        <v>9</v>
      </c>
      <c r="H192" s="86">
        <f t="shared" si="37"/>
        <v>0</v>
      </c>
      <c r="I192" s="92" t="s">
        <v>54</v>
      </c>
      <c r="J192" s="89"/>
      <c r="K192" s="89"/>
      <c r="L192" s="89"/>
    </row>
    <row r="193" s="12" customFormat="1" ht="15" customHeight="1" spans="1:12">
      <c r="A193" s="93">
        <v>4</v>
      </c>
      <c r="B193" s="88" t="s">
        <v>55</v>
      </c>
      <c r="C193" s="86"/>
      <c r="D193" s="86" t="s">
        <v>15</v>
      </c>
      <c r="E193" s="86">
        <v>8</v>
      </c>
      <c r="F193" s="86">
        <f t="shared" si="36"/>
        <v>0</v>
      </c>
      <c r="G193" s="86">
        <v>20</v>
      </c>
      <c r="H193" s="86">
        <f t="shared" si="37"/>
        <v>0</v>
      </c>
      <c r="I193" s="92" t="s">
        <v>87</v>
      </c>
      <c r="J193" s="97"/>
      <c r="K193" s="97"/>
      <c r="L193" s="97"/>
    </row>
    <row r="194" s="13" customFormat="1" ht="15" customHeight="1" spans="1:12">
      <c r="A194" s="93">
        <v>5</v>
      </c>
      <c r="B194" s="85" t="s">
        <v>29</v>
      </c>
      <c r="C194" s="86"/>
      <c r="D194" s="86" t="s">
        <v>18</v>
      </c>
      <c r="E194" s="86"/>
      <c r="F194" s="86">
        <f t="shared" si="36"/>
        <v>0</v>
      </c>
      <c r="G194" s="86">
        <v>2.5</v>
      </c>
      <c r="H194" s="86">
        <f t="shared" si="37"/>
        <v>0</v>
      </c>
      <c r="I194" s="92" t="s">
        <v>57</v>
      </c>
      <c r="J194" s="89"/>
      <c r="K194" s="89"/>
      <c r="L194" s="89"/>
    </row>
    <row r="195" s="9" customFormat="1" ht="16.5" customHeight="1" spans="1:12">
      <c r="A195" s="93">
        <v>6</v>
      </c>
      <c r="B195" s="50" t="s">
        <v>104</v>
      </c>
      <c r="C195" s="47"/>
      <c r="D195" s="47" t="s">
        <v>18</v>
      </c>
      <c r="E195" s="47">
        <v>85</v>
      </c>
      <c r="F195" s="47">
        <f t="shared" si="36"/>
        <v>0</v>
      </c>
      <c r="G195" s="47">
        <v>35</v>
      </c>
      <c r="H195" s="47">
        <f t="shared" si="37"/>
        <v>0</v>
      </c>
      <c r="I195" s="48" t="s">
        <v>105</v>
      </c>
      <c r="J195" s="40"/>
      <c r="K195" s="40"/>
      <c r="L195" s="40"/>
    </row>
    <row r="196" s="15" customFormat="1" ht="14.25" customHeight="1" spans="1:12">
      <c r="A196" s="93">
        <v>7</v>
      </c>
      <c r="B196" s="50" t="s">
        <v>88</v>
      </c>
      <c r="C196" s="47"/>
      <c r="D196" s="47" t="s">
        <v>18</v>
      </c>
      <c r="E196" s="47">
        <v>160</v>
      </c>
      <c r="F196" s="47">
        <f t="shared" si="36"/>
        <v>0</v>
      </c>
      <c r="G196" s="47">
        <v>125</v>
      </c>
      <c r="H196" s="47">
        <f t="shared" si="37"/>
        <v>0</v>
      </c>
      <c r="I196" s="48" t="s">
        <v>89</v>
      </c>
      <c r="J196" s="98"/>
      <c r="K196" s="98"/>
      <c r="L196" s="98"/>
    </row>
    <row r="197" s="9" customFormat="1" ht="25" customHeight="1" spans="1:12">
      <c r="A197" s="93">
        <v>8</v>
      </c>
      <c r="B197" s="99" t="s">
        <v>90</v>
      </c>
      <c r="C197" s="100"/>
      <c r="D197" s="101" t="s">
        <v>32</v>
      </c>
      <c r="E197" s="101">
        <v>60</v>
      </c>
      <c r="F197" s="47">
        <f t="shared" si="36"/>
        <v>0</v>
      </c>
      <c r="G197" s="101">
        <v>35</v>
      </c>
      <c r="H197" s="47">
        <f t="shared" si="37"/>
        <v>0</v>
      </c>
      <c r="I197" s="102" t="s">
        <v>91</v>
      </c>
      <c r="J197" s="103"/>
      <c r="K197" s="103"/>
      <c r="L197" s="103"/>
    </row>
    <row r="198" s="9" customFormat="1" ht="15" customHeight="1" spans="1:12">
      <c r="A198" s="93">
        <v>9</v>
      </c>
      <c r="B198" s="104" t="s">
        <v>92</v>
      </c>
      <c r="C198" s="100"/>
      <c r="D198" s="100" t="s">
        <v>18</v>
      </c>
      <c r="E198" s="100">
        <v>22</v>
      </c>
      <c r="F198" s="47">
        <f t="shared" si="36"/>
        <v>0</v>
      </c>
      <c r="G198" s="100">
        <v>15</v>
      </c>
      <c r="H198" s="47">
        <f t="shared" si="37"/>
        <v>0</v>
      </c>
      <c r="I198" s="105" t="s">
        <v>61</v>
      </c>
      <c r="J198" s="106"/>
      <c r="K198" s="106"/>
      <c r="L198" s="106"/>
    </row>
    <row r="199" s="13" customFormat="1" ht="25" customHeight="1" spans="1:12">
      <c r="A199" s="93">
        <v>8</v>
      </c>
      <c r="B199" s="116" t="s">
        <v>106</v>
      </c>
      <c r="C199" s="86"/>
      <c r="D199" s="86" t="s">
        <v>18</v>
      </c>
      <c r="E199" s="86">
        <v>45</v>
      </c>
      <c r="F199" s="86">
        <f t="shared" si="36"/>
        <v>0</v>
      </c>
      <c r="G199" s="86">
        <v>20</v>
      </c>
      <c r="H199" s="86">
        <f t="shared" si="37"/>
        <v>0</v>
      </c>
      <c r="I199" s="92" t="s">
        <v>63</v>
      </c>
      <c r="J199" s="89"/>
      <c r="K199" s="89"/>
      <c r="L199" s="89"/>
    </row>
    <row r="200" s="12" customFormat="1" ht="15" customHeight="1" spans="1:12">
      <c r="A200" s="93">
        <v>9</v>
      </c>
      <c r="B200" s="85" t="s">
        <v>107</v>
      </c>
      <c r="C200" s="117"/>
      <c r="D200" s="118" t="s">
        <v>15</v>
      </c>
      <c r="E200" s="119">
        <v>65</v>
      </c>
      <c r="F200" s="86">
        <f t="shared" si="36"/>
        <v>0</v>
      </c>
      <c r="G200" s="119">
        <v>60</v>
      </c>
      <c r="H200" s="86">
        <f t="shared" si="37"/>
        <v>0</v>
      </c>
      <c r="I200" s="120" t="s">
        <v>108</v>
      </c>
      <c r="J200" s="121"/>
      <c r="K200" s="121"/>
      <c r="L200" s="121"/>
    </row>
    <row r="201" s="13" customFormat="1" ht="15" customHeight="1" spans="1:12">
      <c r="A201" s="93">
        <v>10</v>
      </c>
      <c r="B201" s="122" t="s">
        <v>109</v>
      </c>
      <c r="C201" s="117"/>
      <c r="D201" s="117" t="s">
        <v>18</v>
      </c>
      <c r="E201" s="117">
        <v>45</v>
      </c>
      <c r="F201" s="86">
        <f t="shared" si="36"/>
        <v>0</v>
      </c>
      <c r="G201" s="117">
        <v>20</v>
      </c>
      <c r="H201" s="86">
        <f t="shared" si="37"/>
        <v>0</v>
      </c>
      <c r="I201" s="123" t="s">
        <v>110</v>
      </c>
      <c r="J201" s="124"/>
      <c r="K201" s="124"/>
      <c r="L201" s="124"/>
    </row>
    <row r="202" s="13" customFormat="1" ht="15" customHeight="1" spans="1:12">
      <c r="A202" s="93">
        <v>10</v>
      </c>
      <c r="B202" s="85" t="s">
        <v>45</v>
      </c>
      <c r="C202" s="86"/>
      <c r="D202" s="86" t="s">
        <v>18</v>
      </c>
      <c r="E202" s="86">
        <v>12</v>
      </c>
      <c r="F202" s="86">
        <f t="shared" si="36"/>
        <v>0</v>
      </c>
      <c r="G202" s="86">
        <v>5</v>
      </c>
      <c r="H202" s="86">
        <f t="shared" si="37"/>
        <v>0</v>
      </c>
      <c r="I202" s="92" t="s">
        <v>46</v>
      </c>
      <c r="J202" s="89"/>
      <c r="K202" s="89"/>
      <c r="L202" s="89"/>
    </row>
    <row r="203" s="16" customFormat="1" ht="16.5" customHeight="1" spans="1:12">
      <c r="A203" s="107"/>
      <c r="B203" s="108" t="s">
        <v>47</v>
      </c>
      <c r="C203" s="107"/>
      <c r="D203" s="107"/>
      <c r="E203" s="107"/>
      <c r="F203" s="107">
        <f>SUM(F190:F202)</f>
        <v>0</v>
      </c>
      <c r="G203" s="107"/>
      <c r="H203" s="107">
        <f>SUM(H190:H202)</f>
        <v>0</v>
      </c>
      <c r="I203" s="109"/>
      <c r="J203" s="110"/>
      <c r="K203" s="110"/>
      <c r="L203" s="110"/>
    </row>
    <row r="204" s="13" customFormat="1" ht="18" customHeight="1" spans="1:12">
      <c r="A204" s="111"/>
      <c r="B204" s="112" t="s">
        <v>111</v>
      </c>
      <c r="C204" s="112"/>
      <c r="D204" s="112"/>
      <c r="E204" s="112"/>
      <c r="F204" s="86"/>
      <c r="G204" s="86"/>
      <c r="H204" s="86"/>
      <c r="I204" s="92"/>
      <c r="J204" s="89"/>
      <c r="K204" s="89"/>
      <c r="L204" s="89"/>
    </row>
    <row r="205" s="12" customFormat="1" ht="18" customHeight="1" spans="1:12">
      <c r="A205" s="90" t="s">
        <v>12</v>
      </c>
      <c r="B205" s="91" t="s">
        <v>98</v>
      </c>
      <c r="C205" s="86"/>
      <c r="D205" s="86"/>
      <c r="E205" s="86"/>
      <c r="F205" s="86"/>
      <c r="G205" s="86"/>
      <c r="H205" s="86"/>
      <c r="I205" s="92"/>
      <c r="J205" s="89"/>
      <c r="K205" s="89"/>
      <c r="L205" s="89"/>
    </row>
    <row r="206" s="14" customFormat="1" ht="31" customHeight="1" spans="1:12">
      <c r="A206" s="93">
        <v>1</v>
      </c>
      <c r="B206" s="94" t="s">
        <v>99</v>
      </c>
      <c r="C206" s="93"/>
      <c r="D206" s="93" t="s">
        <v>21</v>
      </c>
      <c r="E206" s="93">
        <v>28</v>
      </c>
      <c r="F206" s="93">
        <f t="shared" ref="F206:F211" si="38">C206*E206</f>
        <v>0</v>
      </c>
      <c r="G206" s="93">
        <v>71</v>
      </c>
      <c r="H206" s="93">
        <f t="shared" ref="H206:H211" si="39">SUM(G206*C206)</f>
        <v>0</v>
      </c>
      <c r="I206" s="95" t="s">
        <v>28</v>
      </c>
      <c r="J206" s="96"/>
      <c r="K206" s="96"/>
      <c r="L206" s="96"/>
    </row>
    <row r="207" s="12" customFormat="1" ht="26" customHeight="1" spans="1:12">
      <c r="A207" s="93">
        <v>2</v>
      </c>
      <c r="B207" s="114" t="s">
        <v>20</v>
      </c>
      <c r="C207" s="115"/>
      <c r="D207" s="93" t="s">
        <v>21</v>
      </c>
      <c r="E207" s="93">
        <v>125</v>
      </c>
      <c r="F207" s="93">
        <f t="shared" si="38"/>
        <v>0</v>
      </c>
      <c r="G207" s="93">
        <v>65</v>
      </c>
      <c r="H207" s="93">
        <f t="shared" si="39"/>
        <v>0</v>
      </c>
      <c r="I207" s="95" t="s">
        <v>22</v>
      </c>
      <c r="J207" s="13"/>
      <c r="K207" s="13"/>
      <c r="L207" s="13"/>
    </row>
    <row r="208" s="12" customFormat="1" ht="16.5" customHeight="1" spans="1:12">
      <c r="A208" s="93">
        <v>3</v>
      </c>
      <c r="B208" s="85" t="s">
        <v>34</v>
      </c>
      <c r="C208" s="86"/>
      <c r="D208" s="113" t="s">
        <v>32</v>
      </c>
      <c r="E208" s="86">
        <v>2</v>
      </c>
      <c r="F208" s="86">
        <f t="shared" si="38"/>
        <v>0</v>
      </c>
      <c r="G208" s="86">
        <v>4</v>
      </c>
      <c r="H208" s="86">
        <f t="shared" si="39"/>
        <v>0</v>
      </c>
      <c r="I208" s="92" t="s">
        <v>35</v>
      </c>
      <c r="J208" s="89"/>
      <c r="K208" s="89"/>
      <c r="L208" s="89"/>
    </row>
    <row r="209" s="12" customFormat="1" ht="26.25" customHeight="1" spans="1:12">
      <c r="A209" s="93">
        <v>4</v>
      </c>
      <c r="B209" s="85" t="s">
        <v>36</v>
      </c>
      <c r="C209" s="86"/>
      <c r="D209" s="86" t="s">
        <v>18</v>
      </c>
      <c r="E209" s="86">
        <v>19</v>
      </c>
      <c r="F209" s="86">
        <f t="shared" si="38"/>
        <v>0</v>
      </c>
      <c r="G209" s="86">
        <v>13</v>
      </c>
      <c r="H209" s="86">
        <f t="shared" si="39"/>
        <v>0</v>
      </c>
      <c r="I209" s="92" t="s">
        <v>37</v>
      </c>
      <c r="J209" s="89"/>
      <c r="K209" s="89"/>
      <c r="L209" s="89"/>
    </row>
    <row r="210" s="12" customFormat="1" ht="27" customHeight="1" spans="1:12">
      <c r="A210" s="93">
        <v>5</v>
      </c>
      <c r="B210" s="85" t="s">
        <v>38</v>
      </c>
      <c r="C210" s="86"/>
      <c r="D210" s="86" t="s">
        <v>18</v>
      </c>
      <c r="E210" s="86">
        <v>12</v>
      </c>
      <c r="F210" s="86">
        <f t="shared" si="38"/>
        <v>0</v>
      </c>
      <c r="G210" s="86">
        <v>7</v>
      </c>
      <c r="H210" s="86">
        <f t="shared" si="39"/>
        <v>0</v>
      </c>
      <c r="I210" s="92" t="s">
        <v>39</v>
      </c>
      <c r="J210" s="89"/>
      <c r="K210" s="89"/>
      <c r="L210" s="89"/>
    </row>
    <row r="211" s="12" customFormat="1" ht="15" customHeight="1" spans="1:12">
      <c r="A211" s="93">
        <v>6</v>
      </c>
      <c r="B211" s="85" t="s">
        <v>45</v>
      </c>
      <c r="C211" s="86"/>
      <c r="D211" s="86" t="s">
        <v>18</v>
      </c>
      <c r="E211" s="86">
        <v>12</v>
      </c>
      <c r="F211" s="86">
        <f t="shared" si="38"/>
        <v>0</v>
      </c>
      <c r="G211" s="86">
        <v>5</v>
      </c>
      <c r="H211" s="86">
        <f t="shared" si="39"/>
        <v>0</v>
      </c>
      <c r="I211" s="92" t="s">
        <v>46</v>
      </c>
      <c r="J211" s="89"/>
      <c r="K211" s="89"/>
      <c r="L211" s="89"/>
    </row>
    <row r="212" s="16" customFormat="1" ht="18" customHeight="1" spans="1:12">
      <c r="A212" s="107"/>
      <c r="B212" s="108" t="s">
        <v>47</v>
      </c>
      <c r="C212" s="107"/>
      <c r="D212" s="107"/>
      <c r="E212" s="107"/>
      <c r="F212" s="107">
        <f>SUM(F206:F211)</f>
        <v>0</v>
      </c>
      <c r="G212" s="107"/>
      <c r="H212" s="107">
        <f>SUM(H206:H211)</f>
        <v>0</v>
      </c>
      <c r="I212" s="109"/>
      <c r="J212" s="110"/>
      <c r="K212" s="110"/>
      <c r="L212" s="110"/>
    </row>
    <row r="213" s="9" customFormat="1" ht="18.75" customHeight="1" spans="1:12">
      <c r="A213" s="45" t="s">
        <v>48</v>
      </c>
      <c r="B213" s="71" t="s">
        <v>112</v>
      </c>
      <c r="C213" s="72"/>
      <c r="D213" s="72"/>
      <c r="E213" s="73"/>
      <c r="F213" s="47"/>
      <c r="G213" s="47"/>
      <c r="H213" s="47"/>
      <c r="I213" s="48"/>
      <c r="J213" s="40"/>
      <c r="K213" s="40"/>
      <c r="L213" s="40"/>
    </row>
    <row r="214" s="5" customFormat="1" ht="24" customHeight="1" spans="1:12">
      <c r="A214" s="56">
        <v>1</v>
      </c>
      <c r="B214" s="69" t="s">
        <v>85</v>
      </c>
      <c r="C214" s="56"/>
      <c r="D214" s="56" t="s">
        <v>21</v>
      </c>
      <c r="E214" s="56">
        <v>28</v>
      </c>
      <c r="F214" s="56">
        <f t="shared" ref="F214:F223" si="40">C214*E214</f>
        <v>0</v>
      </c>
      <c r="G214" s="56">
        <v>32</v>
      </c>
      <c r="H214" s="56">
        <f t="shared" ref="H214:H223" si="41">SUM(G214*C214)</f>
        <v>0</v>
      </c>
      <c r="I214" s="57" t="s">
        <v>28</v>
      </c>
      <c r="J214" s="61"/>
      <c r="K214" s="61"/>
      <c r="L214" s="61"/>
    </row>
    <row r="215" s="9" customFormat="1" ht="16.5" customHeight="1" spans="1:12">
      <c r="A215" s="56">
        <v>2</v>
      </c>
      <c r="B215" s="50" t="s">
        <v>24</v>
      </c>
      <c r="C215" s="47"/>
      <c r="D215" s="47" t="s">
        <v>25</v>
      </c>
      <c r="E215" s="47">
        <v>38</v>
      </c>
      <c r="F215" s="47">
        <f t="shared" si="40"/>
        <v>0</v>
      </c>
      <c r="G215" s="47">
        <v>22</v>
      </c>
      <c r="H215" s="47">
        <f>C215*G215</f>
        <v>0</v>
      </c>
      <c r="I215" s="48" t="s">
        <v>26</v>
      </c>
      <c r="J215" s="40"/>
      <c r="K215" s="40"/>
      <c r="L215" s="40"/>
    </row>
    <row r="216" s="12" customFormat="1" ht="15" customHeight="1" spans="1:12">
      <c r="A216" s="56">
        <v>3</v>
      </c>
      <c r="B216" s="85" t="s">
        <v>14</v>
      </c>
      <c r="C216" s="86"/>
      <c r="D216" s="86" t="s">
        <v>15</v>
      </c>
      <c r="E216" s="86">
        <v>70</v>
      </c>
      <c r="F216" s="86">
        <f t="shared" si="40"/>
        <v>0</v>
      </c>
      <c r="G216" s="87">
        <v>25</v>
      </c>
      <c r="H216" s="86">
        <f t="shared" si="41"/>
        <v>0</v>
      </c>
      <c r="I216" s="88" t="s">
        <v>16</v>
      </c>
      <c r="J216" s="89"/>
      <c r="K216" s="89"/>
      <c r="L216" s="89"/>
    </row>
    <row r="217" s="5" customFormat="1" ht="14" customHeight="1" spans="1:12">
      <c r="A217" s="56">
        <v>4</v>
      </c>
      <c r="B217" s="50" t="s">
        <v>29</v>
      </c>
      <c r="C217" s="47"/>
      <c r="D217" s="47" t="s">
        <v>18</v>
      </c>
      <c r="E217" s="47"/>
      <c r="F217" s="47">
        <f t="shared" si="40"/>
        <v>0</v>
      </c>
      <c r="G217" s="47">
        <v>2.5</v>
      </c>
      <c r="H217" s="47">
        <f t="shared" si="41"/>
        <v>0</v>
      </c>
      <c r="I217" s="48" t="s">
        <v>57</v>
      </c>
      <c r="J217" s="40"/>
      <c r="K217" s="40"/>
      <c r="L217" s="40"/>
    </row>
    <row r="218" s="9" customFormat="1" ht="17" customHeight="1" spans="1:12">
      <c r="A218" s="56">
        <v>5</v>
      </c>
      <c r="B218" s="53" t="s">
        <v>17</v>
      </c>
      <c r="C218" s="49"/>
      <c r="D218" s="47" t="s">
        <v>18</v>
      </c>
      <c r="E218" s="49">
        <v>95</v>
      </c>
      <c r="F218" s="47">
        <f t="shared" si="40"/>
        <v>0</v>
      </c>
      <c r="G218" s="49">
        <v>55</v>
      </c>
      <c r="H218" s="47">
        <f t="shared" si="41"/>
        <v>0</v>
      </c>
      <c r="I218" s="48" t="s">
        <v>19</v>
      </c>
    </row>
    <row r="219" s="12" customFormat="1" ht="26" customHeight="1" spans="1:12">
      <c r="A219" s="56">
        <v>6</v>
      </c>
      <c r="B219" s="114" t="s">
        <v>20</v>
      </c>
      <c r="C219" s="115"/>
      <c r="D219" s="93" t="s">
        <v>21</v>
      </c>
      <c r="E219" s="93">
        <v>125</v>
      </c>
      <c r="F219" s="93">
        <f t="shared" si="40"/>
        <v>0</v>
      </c>
      <c r="G219" s="93">
        <v>65</v>
      </c>
      <c r="H219" s="93">
        <f t="shared" si="41"/>
        <v>0</v>
      </c>
      <c r="I219" s="95" t="s">
        <v>22</v>
      </c>
      <c r="J219" s="13"/>
      <c r="K219" s="13"/>
      <c r="L219" s="13"/>
    </row>
    <row r="220" s="9" customFormat="1" ht="16.5" customHeight="1" spans="1:12">
      <c r="A220" s="56">
        <v>7</v>
      </c>
      <c r="B220" s="50" t="s">
        <v>34</v>
      </c>
      <c r="C220" s="47"/>
      <c r="D220" s="49" t="s">
        <v>32</v>
      </c>
      <c r="E220" s="47">
        <v>2</v>
      </c>
      <c r="F220" s="47">
        <f t="shared" si="40"/>
        <v>0</v>
      </c>
      <c r="G220" s="47">
        <v>4</v>
      </c>
      <c r="H220" s="47">
        <f t="shared" si="41"/>
        <v>0</v>
      </c>
      <c r="I220" s="48" t="s">
        <v>35</v>
      </c>
      <c r="J220" s="40"/>
      <c r="K220" s="40"/>
      <c r="L220" s="40"/>
    </row>
    <row r="221" s="9" customFormat="1" ht="26.25" customHeight="1" spans="1:12">
      <c r="A221" s="56">
        <v>8</v>
      </c>
      <c r="B221" s="50" t="s">
        <v>36</v>
      </c>
      <c r="C221" s="47"/>
      <c r="D221" s="47" t="s">
        <v>18</v>
      </c>
      <c r="E221" s="47">
        <v>19</v>
      </c>
      <c r="F221" s="47">
        <f t="shared" si="40"/>
        <v>0</v>
      </c>
      <c r="G221" s="47">
        <v>13</v>
      </c>
      <c r="H221" s="47">
        <f t="shared" si="41"/>
        <v>0</v>
      </c>
      <c r="I221" s="48" t="s">
        <v>37</v>
      </c>
      <c r="J221" s="40"/>
      <c r="K221" s="40"/>
      <c r="L221" s="40"/>
    </row>
    <row r="222" s="9" customFormat="1" ht="27" customHeight="1" spans="1:12">
      <c r="A222" s="56">
        <v>9</v>
      </c>
      <c r="B222" s="50" t="s">
        <v>38</v>
      </c>
      <c r="C222" s="47"/>
      <c r="D222" s="47" t="s">
        <v>18</v>
      </c>
      <c r="E222" s="47">
        <v>12</v>
      </c>
      <c r="F222" s="47">
        <f t="shared" si="40"/>
        <v>0</v>
      </c>
      <c r="G222" s="47">
        <v>7</v>
      </c>
      <c r="H222" s="47">
        <f t="shared" si="41"/>
        <v>0</v>
      </c>
      <c r="I222" s="48" t="s">
        <v>39</v>
      </c>
      <c r="J222" s="40"/>
      <c r="K222" s="40"/>
      <c r="L222" s="40"/>
    </row>
    <row r="223" s="9" customFormat="1" ht="15" customHeight="1" spans="1:12">
      <c r="A223" s="56">
        <v>10</v>
      </c>
      <c r="B223" s="50" t="s">
        <v>45</v>
      </c>
      <c r="C223" s="47"/>
      <c r="D223" s="47" t="s">
        <v>18</v>
      </c>
      <c r="E223" s="47">
        <v>12</v>
      </c>
      <c r="F223" s="47">
        <f t="shared" si="40"/>
        <v>0</v>
      </c>
      <c r="G223" s="47">
        <v>5</v>
      </c>
      <c r="H223" s="47">
        <f t="shared" si="41"/>
        <v>0</v>
      </c>
      <c r="I223" s="48" t="s">
        <v>46</v>
      </c>
      <c r="J223" s="40"/>
      <c r="K223" s="40"/>
      <c r="L223" s="40"/>
    </row>
    <row r="224" s="6" customFormat="1" ht="18" customHeight="1" spans="1:12">
      <c r="A224" s="64"/>
      <c r="B224" s="65" t="s">
        <v>47</v>
      </c>
      <c r="C224" s="64"/>
      <c r="D224" s="64"/>
      <c r="E224" s="64"/>
      <c r="F224" s="64">
        <f>SUM(F214:F223)</f>
        <v>0</v>
      </c>
      <c r="G224" s="64"/>
      <c r="H224" s="64">
        <f>SUM(H214:H223)</f>
        <v>0</v>
      </c>
      <c r="I224" s="66"/>
      <c r="J224" s="67"/>
      <c r="K224" s="67"/>
      <c r="L224" s="67"/>
    </row>
    <row r="225" s="9" customFormat="1" ht="18" customHeight="1" spans="1:12">
      <c r="A225" s="45" t="s">
        <v>64</v>
      </c>
      <c r="B225" s="46" t="s">
        <v>101</v>
      </c>
      <c r="C225" s="47"/>
      <c r="D225" s="47"/>
      <c r="E225" s="47"/>
      <c r="F225" s="47"/>
      <c r="G225" s="47"/>
      <c r="H225" s="47"/>
      <c r="I225" s="48"/>
      <c r="J225" s="40"/>
      <c r="K225" s="40"/>
      <c r="L225" s="40"/>
    </row>
    <row r="226" s="5" customFormat="1" ht="27" customHeight="1" spans="1:12">
      <c r="A226" s="56">
        <v>1</v>
      </c>
      <c r="B226" s="69" t="s">
        <v>85</v>
      </c>
      <c r="C226" s="56"/>
      <c r="D226" s="56" t="s">
        <v>21</v>
      </c>
      <c r="E226" s="56">
        <v>28</v>
      </c>
      <c r="F226" s="56">
        <f t="shared" ref="F226:F237" si="42">C226*E226</f>
        <v>0</v>
      </c>
      <c r="G226" s="56">
        <v>32</v>
      </c>
      <c r="H226" s="56">
        <f t="shared" ref="H226:H237" si="43">SUM(G226*C226)</f>
        <v>0</v>
      </c>
      <c r="I226" s="57" t="s">
        <v>28</v>
      </c>
      <c r="J226" s="61"/>
      <c r="K226" s="61"/>
      <c r="L226" s="61"/>
    </row>
    <row r="227" s="5" customFormat="1" ht="15" customHeight="1" spans="1:12">
      <c r="A227" s="56">
        <v>2</v>
      </c>
      <c r="B227" s="69" t="s">
        <v>51</v>
      </c>
      <c r="C227" s="56"/>
      <c r="D227" s="56" t="s">
        <v>21</v>
      </c>
      <c r="E227" s="56">
        <v>28</v>
      </c>
      <c r="F227" s="56">
        <f t="shared" si="42"/>
        <v>0</v>
      </c>
      <c r="G227" s="56">
        <v>40</v>
      </c>
      <c r="H227" s="56">
        <f t="shared" si="43"/>
        <v>0</v>
      </c>
      <c r="I227" s="57" t="s">
        <v>52</v>
      </c>
      <c r="J227" s="61"/>
      <c r="K227" s="61"/>
      <c r="L227" s="61"/>
    </row>
    <row r="228" s="9" customFormat="1" ht="16" customHeight="1" spans="1:12">
      <c r="A228" s="56">
        <v>3</v>
      </c>
      <c r="B228" s="52" t="s">
        <v>53</v>
      </c>
      <c r="C228" s="47"/>
      <c r="D228" s="47" t="s">
        <v>18</v>
      </c>
      <c r="E228" s="47">
        <v>0</v>
      </c>
      <c r="F228" s="47">
        <f t="shared" si="42"/>
        <v>0</v>
      </c>
      <c r="G228" s="47">
        <v>9</v>
      </c>
      <c r="H228" s="47">
        <f t="shared" si="43"/>
        <v>0</v>
      </c>
      <c r="I228" s="48" t="s">
        <v>54</v>
      </c>
      <c r="J228" s="40"/>
      <c r="K228" s="40"/>
      <c r="L228" s="40"/>
    </row>
    <row r="229" s="7" customFormat="1" ht="15" customHeight="1" spans="1:12">
      <c r="A229" s="56">
        <v>4</v>
      </c>
      <c r="B229" s="52" t="s">
        <v>55</v>
      </c>
      <c r="C229" s="47"/>
      <c r="D229" s="47" t="s">
        <v>15</v>
      </c>
      <c r="E229" s="47">
        <v>8</v>
      </c>
      <c r="F229" s="47">
        <f t="shared" si="42"/>
        <v>0</v>
      </c>
      <c r="G229" s="47">
        <v>20</v>
      </c>
      <c r="H229" s="47">
        <f t="shared" si="43"/>
        <v>0</v>
      </c>
      <c r="I229" s="48" t="s">
        <v>87</v>
      </c>
      <c r="J229" s="70"/>
      <c r="K229" s="70"/>
      <c r="L229" s="70"/>
    </row>
    <row r="230" s="9" customFormat="1" ht="15" customHeight="1" spans="1:12">
      <c r="A230" s="56">
        <v>5</v>
      </c>
      <c r="B230" s="50" t="s">
        <v>29</v>
      </c>
      <c r="C230" s="47"/>
      <c r="D230" s="47" t="s">
        <v>18</v>
      </c>
      <c r="E230" s="47"/>
      <c r="F230" s="47">
        <f t="shared" si="42"/>
        <v>0</v>
      </c>
      <c r="G230" s="47">
        <v>2.5</v>
      </c>
      <c r="H230" s="47">
        <f t="shared" si="43"/>
        <v>0</v>
      </c>
      <c r="I230" s="48" t="s">
        <v>57</v>
      </c>
      <c r="J230" s="40"/>
      <c r="K230" s="40"/>
      <c r="L230" s="40"/>
    </row>
    <row r="231" s="7" customFormat="1" ht="17.25" customHeight="1" spans="1:12">
      <c r="A231" s="56">
        <v>6</v>
      </c>
      <c r="B231" s="53" t="s">
        <v>113</v>
      </c>
      <c r="C231" s="47"/>
      <c r="D231" s="49" t="s">
        <v>32</v>
      </c>
      <c r="E231" s="49">
        <v>155</v>
      </c>
      <c r="F231" s="47">
        <f t="shared" si="42"/>
        <v>0</v>
      </c>
      <c r="G231" s="49">
        <v>75</v>
      </c>
      <c r="H231" s="47">
        <f t="shared" si="43"/>
        <v>0</v>
      </c>
      <c r="I231" s="63" t="s">
        <v>114</v>
      </c>
    </row>
    <row r="232" s="9" customFormat="1" ht="26.25" customHeight="1" spans="1:12">
      <c r="A232" s="56">
        <v>7</v>
      </c>
      <c r="B232" s="50" t="s">
        <v>115</v>
      </c>
      <c r="C232" s="47"/>
      <c r="D232" s="47" t="s">
        <v>18</v>
      </c>
      <c r="E232" s="47">
        <v>29</v>
      </c>
      <c r="F232" s="47">
        <f t="shared" si="42"/>
        <v>0</v>
      </c>
      <c r="G232" s="47">
        <v>13</v>
      </c>
      <c r="H232" s="47">
        <f t="shared" si="43"/>
        <v>0</v>
      </c>
      <c r="I232" s="48" t="s">
        <v>116</v>
      </c>
      <c r="J232" s="40"/>
      <c r="K232" s="40"/>
      <c r="L232" s="40"/>
    </row>
    <row r="233" s="9" customFormat="1" ht="16.5" customHeight="1" spans="1:12">
      <c r="A233" s="56">
        <v>8</v>
      </c>
      <c r="B233" s="50" t="s">
        <v>117</v>
      </c>
      <c r="C233" s="47"/>
      <c r="D233" s="47" t="s">
        <v>18</v>
      </c>
      <c r="E233" s="47">
        <v>45</v>
      </c>
      <c r="F233" s="47">
        <f t="shared" si="42"/>
        <v>0</v>
      </c>
      <c r="G233" s="47">
        <v>7</v>
      </c>
      <c r="H233" s="47">
        <f t="shared" si="43"/>
        <v>0</v>
      </c>
      <c r="I233" s="48" t="s">
        <v>118</v>
      </c>
      <c r="J233" s="40"/>
      <c r="K233" s="40"/>
      <c r="L233" s="40"/>
    </row>
    <row r="234" s="9" customFormat="1" ht="15" customHeight="1" spans="1:12">
      <c r="A234" s="56">
        <v>6</v>
      </c>
      <c r="B234" s="50" t="s">
        <v>58</v>
      </c>
      <c r="C234" s="47"/>
      <c r="D234" s="47" t="s">
        <v>18</v>
      </c>
      <c r="E234" s="47">
        <v>45</v>
      </c>
      <c r="F234" s="47">
        <f t="shared" si="42"/>
        <v>0</v>
      </c>
      <c r="G234" s="47">
        <v>20</v>
      </c>
      <c r="H234" s="47">
        <f t="shared" si="43"/>
        <v>0</v>
      </c>
      <c r="I234" s="48" t="s">
        <v>59</v>
      </c>
      <c r="J234" s="40"/>
      <c r="K234" s="40"/>
      <c r="L234" s="40"/>
    </row>
    <row r="235" s="9" customFormat="1" ht="14.25" customHeight="1" spans="1:12">
      <c r="A235" s="56">
        <v>7</v>
      </c>
      <c r="B235" s="50" t="s">
        <v>60</v>
      </c>
      <c r="C235" s="47"/>
      <c r="D235" s="47" t="s">
        <v>18</v>
      </c>
      <c r="E235" s="47">
        <v>22</v>
      </c>
      <c r="F235" s="47">
        <f t="shared" si="42"/>
        <v>0</v>
      </c>
      <c r="G235" s="47">
        <v>12</v>
      </c>
      <c r="H235" s="47">
        <f t="shared" si="43"/>
        <v>0</v>
      </c>
      <c r="I235" s="48" t="s">
        <v>61</v>
      </c>
      <c r="J235" s="40"/>
      <c r="K235" s="40"/>
      <c r="L235" s="40"/>
    </row>
    <row r="236" s="9" customFormat="1" ht="15" customHeight="1" spans="1:12">
      <c r="A236" s="56">
        <v>8</v>
      </c>
      <c r="B236" s="50" t="s">
        <v>62</v>
      </c>
      <c r="C236" s="47"/>
      <c r="D236" s="47" t="s">
        <v>18</v>
      </c>
      <c r="E236" s="47">
        <v>45</v>
      </c>
      <c r="F236" s="47">
        <f t="shared" si="42"/>
        <v>0</v>
      </c>
      <c r="G236" s="47">
        <v>20</v>
      </c>
      <c r="H236" s="47">
        <f t="shared" si="43"/>
        <v>0</v>
      </c>
      <c r="I236" s="48" t="s">
        <v>63</v>
      </c>
      <c r="J236" s="40"/>
      <c r="K236" s="40"/>
      <c r="L236" s="40"/>
    </row>
    <row r="237" s="9" customFormat="1" ht="15" customHeight="1" spans="1:12">
      <c r="A237" s="56">
        <v>9</v>
      </c>
      <c r="B237" s="50" t="s">
        <v>45</v>
      </c>
      <c r="C237" s="47"/>
      <c r="D237" s="47" t="s">
        <v>18</v>
      </c>
      <c r="E237" s="47">
        <v>12</v>
      </c>
      <c r="F237" s="47">
        <f t="shared" si="42"/>
        <v>0</v>
      </c>
      <c r="G237" s="47">
        <v>5</v>
      </c>
      <c r="H237" s="47">
        <f t="shared" si="43"/>
        <v>0</v>
      </c>
      <c r="I237" s="48" t="s">
        <v>46</v>
      </c>
      <c r="J237" s="40"/>
      <c r="K237" s="40"/>
      <c r="L237" s="40"/>
    </row>
    <row r="238" s="6" customFormat="1" ht="16.5" customHeight="1" spans="1:12">
      <c r="A238" s="64"/>
      <c r="B238" s="65" t="s">
        <v>47</v>
      </c>
      <c r="C238" s="64"/>
      <c r="D238" s="64"/>
      <c r="E238" s="64"/>
      <c r="F238" s="64">
        <f>SUM(F226:F237)</f>
        <v>0</v>
      </c>
      <c r="G238" s="64"/>
      <c r="H238" s="64">
        <f>SUM(H226:H237)</f>
        <v>0</v>
      </c>
      <c r="I238" s="66"/>
      <c r="J238" s="67"/>
      <c r="K238" s="67"/>
      <c r="L238" s="67"/>
    </row>
    <row r="239" s="13" customFormat="1" ht="18" customHeight="1" spans="1:12">
      <c r="A239" s="90" t="s">
        <v>66</v>
      </c>
      <c r="B239" s="91" t="s">
        <v>119</v>
      </c>
      <c r="C239" s="86"/>
      <c r="D239" s="86"/>
      <c r="E239" s="86"/>
      <c r="F239" s="86"/>
      <c r="G239" s="86"/>
      <c r="H239" s="86"/>
      <c r="I239" s="92"/>
      <c r="J239" s="89"/>
      <c r="K239" s="89"/>
      <c r="L239" s="89"/>
    </row>
    <row r="240" s="14" customFormat="1" ht="27" customHeight="1" spans="1:12">
      <c r="A240" s="93">
        <v>1</v>
      </c>
      <c r="B240" s="94" t="s">
        <v>85</v>
      </c>
      <c r="C240" s="93"/>
      <c r="D240" s="93" t="s">
        <v>21</v>
      </c>
      <c r="E240" s="93">
        <v>28</v>
      </c>
      <c r="F240" s="93">
        <f t="shared" ref="F240:F254" si="44">C240*E240</f>
        <v>0</v>
      </c>
      <c r="G240" s="93">
        <v>32</v>
      </c>
      <c r="H240" s="93">
        <f t="shared" ref="H240:H254" si="45">SUM(G240*C240)</f>
        <v>0</v>
      </c>
      <c r="I240" s="95" t="s">
        <v>28</v>
      </c>
      <c r="J240" s="96"/>
      <c r="K240" s="96"/>
      <c r="L240" s="96"/>
    </row>
    <row r="241" s="14" customFormat="1" ht="15" customHeight="1" spans="1:12">
      <c r="A241" s="93">
        <v>2</v>
      </c>
      <c r="B241" s="94" t="s">
        <v>86</v>
      </c>
      <c r="C241" s="93"/>
      <c r="D241" s="93" t="s">
        <v>21</v>
      </c>
      <c r="E241" s="93">
        <v>28</v>
      </c>
      <c r="F241" s="93">
        <f t="shared" si="44"/>
        <v>0</v>
      </c>
      <c r="G241" s="93">
        <v>40</v>
      </c>
      <c r="H241" s="93">
        <f t="shared" si="45"/>
        <v>0</v>
      </c>
      <c r="I241" s="95" t="s">
        <v>52</v>
      </c>
      <c r="J241" s="96"/>
      <c r="K241" s="96"/>
      <c r="L241" s="96"/>
    </row>
    <row r="242" s="13" customFormat="1" ht="16" customHeight="1" spans="1:12">
      <c r="A242" s="93">
        <v>3</v>
      </c>
      <c r="B242" s="88" t="s">
        <v>53</v>
      </c>
      <c r="C242" s="86"/>
      <c r="D242" s="86" t="s">
        <v>18</v>
      </c>
      <c r="E242" s="86">
        <v>0</v>
      </c>
      <c r="F242" s="86">
        <f t="shared" si="44"/>
        <v>0</v>
      </c>
      <c r="G242" s="86">
        <v>9</v>
      </c>
      <c r="H242" s="86">
        <f t="shared" si="45"/>
        <v>0</v>
      </c>
      <c r="I242" s="92" t="s">
        <v>54</v>
      </c>
      <c r="J242" s="89"/>
      <c r="K242" s="89"/>
      <c r="L242" s="89"/>
    </row>
    <row r="243" s="12" customFormat="1" ht="15" customHeight="1" spans="1:12">
      <c r="A243" s="93">
        <v>4</v>
      </c>
      <c r="B243" s="88" t="s">
        <v>55</v>
      </c>
      <c r="C243" s="86"/>
      <c r="D243" s="86" t="s">
        <v>15</v>
      </c>
      <c r="E243" s="86">
        <v>8</v>
      </c>
      <c r="F243" s="86">
        <f t="shared" si="44"/>
        <v>0</v>
      </c>
      <c r="G243" s="86">
        <v>20</v>
      </c>
      <c r="H243" s="86">
        <f t="shared" si="45"/>
        <v>0</v>
      </c>
      <c r="I243" s="92" t="s">
        <v>87</v>
      </c>
      <c r="J243" s="97"/>
      <c r="K243" s="97"/>
      <c r="L243" s="97"/>
    </row>
    <row r="244" s="13" customFormat="1" ht="15" customHeight="1" spans="1:12">
      <c r="A244" s="93">
        <v>5</v>
      </c>
      <c r="B244" s="85" t="s">
        <v>29</v>
      </c>
      <c r="C244" s="86"/>
      <c r="D244" s="86" t="s">
        <v>18</v>
      </c>
      <c r="E244" s="86"/>
      <c r="F244" s="86">
        <f t="shared" si="44"/>
        <v>0</v>
      </c>
      <c r="G244" s="86">
        <v>2.5</v>
      </c>
      <c r="H244" s="86">
        <f t="shared" si="45"/>
        <v>0</v>
      </c>
      <c r="I244" s="92" t="s">
        <v>57</v>
      </c>
      <c r="J244" s="89"/>
      <c r="K244" s="89"/>
      <c r="L244" s="89"/>
    </row>
    <row r="245" s="9" customFormat="1" ht="16.5" customHeight="1" spans="1:12">
      <c r="A245" s="93">
        <v>6</v>
      </c>
      <c r="B245" s="50" t="s">
        <v>104</v>
      </c>
      <c r="C245" s="47"/>
      <c r="D245" s="47" t="s">
        <v>18</v>
      </c>
      <c r="E245" s="47">
        <v>85</v>
      </c>
      <c r="F245" s="47">
        <f t="shared" si="44"/>
        <v>0</v>
      </c>
      <c r="G245" s="47">
        <v>35</v>
      </c>
      <c r="H245" s="47">
        <f t="shared" si="45"/>
        <v>0</v>
      </c>
      <c r="I245" s="48" t="s">
        <v>105</v>
      </c>
      <c r="J245" s="40"/>
      <c r="K245" s="40"/>
      <c r="L245" s="40"/>
    </row>
    <row r="246" s="15" customFormat="1" ht="14.25" customHeight="1" spans="1:12">
      <c r="A246" s="93">
        <v>7</v>
      </c>
      <c r="B246" s="50" t="s">
        <v>88</v>
      </c>
      <c r="C246" s="47"/>
      <c r="D246" s="47" t="s">
        <v>18</v>
      </c>
      <c r="E246" s="47">
        <v>160</v>
      </c>
      <c r="F246" s="47">
        <f t="shared" si="44"/>
        <v>0</v>
      </c>
      <c r="G246" s="47">
        <v>125</v>
      </c>
      <c r="H246" s="47">
        <f t="shared" si="45"/>
        <v>0</v>
      </c>
      <c r="I246" s="48" t="s">
        <v>89</v>
      </c>
      <c r="J246" s="98"/>
      <c r="K246" s="98"/>
      <c r="L246" s="98"/>
    </row>
    <row r="247" s="9" customFormat="1" ht="25" customHeight="1" spans="1:12">
      <c r="A247" s="93">
        <v>8</v>
      </c>
      <c r="B247" s="99" t="s">
        <v>90</v>
      </c>
      <c r="C247" s="100"/>
      <c r="D247" s="101" t="s">
        <v>32</v>
      </c>
      <c r="E247" s="101">
        <v>60</v>
      </c>
      <c r="F247" s="47">
        <f t="shared" si="44"/>
        <v>0</v>
      </c>
      <c r="G247" s="101">
        <v>35</v>
      </c>
      <c r="H247" s="47">
        <f t="shared" si="45"/>
        <v>0</v>
      </c>
      <c r="I247" s="102" t="s">
        <v>91</v>
      </c>
      <c r="J247" s="103"/>
      <c r="K247" s="103"/>
      <c r="L247" s="103"/>
    </row>
    <row r="248" s="9" customFormat="1" ht="15" customHeight="1" spans="1:12">
      <c r="A248" s="93">
        <v>9</v>
      </c>
      <c r="B248" s="104" t="s">
        <v>92</v>
      </c>
      <c r="C248" s="100"/>
      <c r="D248" s="100" t="s">
        <v>18</v>
      </c>
      <c r="E248" s="100">
        <v>22</v>
      </c>
      <c r="F248" s="47">
        <f t="shared" si="44"/>
        <v>0</v>
      </c>
      <c r="G248" s="100">
        <v>15</v>
      </c>
      <c r="H248" s="47">
        <f t="shared" si="45"/>
        <v>0</v>
      </c>
      <c r="I248" s="105" t="s">
        <v>61</v>
      </c>
      <c r="J248" s="106"/>
      <c r="K248" s="106"/>
      <c r="L248" s="106"/>
    </row>
    <row r="249" s="13" customFormat="1" ht="15" customHeight="1" spans="1:12">
      <c r="A249" s="93">
        <v>10</v>
      </c>
      <c r="B249" s="85" t="s">
        <v>58</v>
      </c>
      <c r="C249" s="86"/>
      <c r="D249" s="86" t="s">
        <v>18</v>
      </c>
      <c r="E249" s="86">
        <v>45</v>
      </c>
      <c r="F249" s="86">
        <f t="shared" si="44"/>
        <v>0</v>
      </c>
      <c r="G249" s="86">
        <v>20</v>
      </c>
      <c r="H249" s="86">
        <f t="shared" si="45"/>
        <v>0</v>
      </c>
      <c r="I249" s="92" t="s">
        <v>59</v>
      </c>
      <c r="J249" s="89"/>
      <c r="K249" s="89"/>
      <c r="L249" s="89"/>
    </row>
    <row r="250" s="13" customFormat="1" ht="14.25" customHeight="1" spans="1:12">
      <c r="A250" s="93">
        <v>11</v>
      </c>
      <c r="B250" s="85" t="s">
        <v>60</v>
      </c>
      <c r="C250" s="86"/>
      <c r="D250" s="86" t="s">
        <v>18</v>
      </c>
      <c r="E250" s="86">
        <v>22</v>
      </c>
      <c r="F250" s="86">
        <f t="shared" si="44"/>
        <v>0</v>
      </c>
      <c r="G250" s="86">
        <v>12</v>
      </c>
      <c r="H250" s="86">
        <f t="shared" si="45"/>
        <v>0</v>
      </c>
      <c r="I250" s="92" t="s">
        <v>61</v>
      </c>
      <c r="J250" s="89"/>
      <c r="K250" s="89"/>
      <c r="L250" s="89"/>
    </row>
    <row r="251" s="13" customFormat="1" ht="25" customHeight="1" spans="1:12">
      <c r="A251" s="93">
        <v>12</v>
      </c>
      <c r="B251" s="116" t="s">
        <v>106</v>
      </c>
      <c r="C251" s="86"/>
      <c r="D251" s="86" t="s">
        <v>18</v>
      </c>
      <c r="E251" s="86">
        <v>45</v>
      </c>
      <c r="F251" s="86">
        <f t="shared" si="44"/>
        <v>0</v>
      </c>
      <c r="G251" s="86">
        <v>20</v>
      </c>
      <c r="H251" s="86">
        <f t="shared" si="45"/>
        <v>0</v>
      </c>
      <c r="I251" s="92" t="s">
        <v>63</v>
      </c>
      <c r="J251" s="89"/>
      <c r="K251" s="89"/>
      <c r="L251" s="89"/>
    </row>
    <row r="252" s="12" customFormat="1" ht="15" customHeight="1" spans="1:12">
      <c r="A252" s="93">
        <v>13</v>
      </c>
      <c r="B252" s="85" t="s">
        <v>107</v>
      </c>
      <c r="C252" s="117"/>
      <c r="D252" s="118" t="s">
        <v>15</v>
      </c>
      <c r="E252" s="119">
        <v>65</v>
      </c>
      <c r="F252" s="86">
        <f t="shared" si="44"/>
        <v>0</v>
      </c>
      <c r="G252" s="119">
        <v>60</v>
      </c>
      <c r="H252" s="86">
        <f t="shared" si="45"/>
        <v>0</v>
      </c>
      <c r="I252" s="120" t="s">
        <v>108</v>
      </c>
      <c r="J252" s="121"/>
      <c r="K252" s="121"/>
      <c r="L252" s="121"/>
    </row>
    <row r="253" s="13" customFormat="1" ht="15" customHeight="1" spans="1:12">
      <c r="A253" s="93">
        <v>14</v>
      </c>
      <c r="B253" s="122" t="s">
        <v>109</v>
      </c>
      <c r="C253" s="117"/>
      <c r="D253" s="117" t="s">
        <v>18</v>
      </c>
      <c r="E253" s="117">
        <v>45</v>
      </c>
      <c r="F253" s="86">
        <f t="shared" si="44"/>
        <v>0</v>
      </c>
      <c r="G253" s="117">
        <v>20</v>
      </c>
      <c r="H253" s="86">
        <f t="shared" si="45"/>
        <v>0</v>
      </c>
      <c r="I253" s="123" t="s">
        <v>110</v>
      </c>
      <c r="J253" s="124"/>
      <c r="K253" s="124"/>
      <c r="L253" s="124"/>
    </row>
    <row r="254" s="13" customFormat="1" ht="15" customHeight="1" spans="1:12">
      <c r="A254" s="93">
        <v>15</v>
      </c>
      <c r="B254" s="85" t="s">
        <v>45</v>
      </c>
      <c r="C254" s="86"/>
      <c r="D254" s="86" t="s">
        <v>18</v>
      </c>
      <c r="E254" s="86">
        <v>12</v>
      </c>
      <c r="F254" s="86">
        <f t="shared" si="44"/>
        <v>0</v>
      </c>
      <c r="G254" s="86">
        <v>5</v>
      </c>
      <c r="H254" s="86">
        <f t="shared" si="45"/>
        <v>0</v>
      </c>
      <c r="I254" s="92" t="s">
        <v>46</v>
      </c>
      <c r="J254" s="89"/>
      <c r="K254" s="89"/>
      <c r="L254" s="89"/>
    </row>
    <row r="255" s="16" customFormat="1" ht="16.5" customHeight="1" spans="1:12">
      <c r="A255" s="107"/>
      <c r="B255" s="108" t="s">
        <v>47</v>
      </c>
      <c r="C255" s="107"/>
      <c r="D255" s="107"/>
      <c r="E255" s="107"/>
      <c r="F255" s="107">
        <f>SUM(F240:F254)</f>
        <v>0</v>
      </c>
      <c r="G255" s="107"/>
      <c r="H255" s="107">
        <f>SUM(H240:H254)</f>
        <v>0</v>
      </c>
      <c r="I255" s="109"/>
      <c r="J255" s="110"/>
      <c r="K255" s="110"/>
      <c r="L255" s="110"/>
    </row>
    <row r="256" ht="16.5" customHeight="1" spans="1:12">
      <c r="A256" s="45" t="s">
        <v>120</v>
      </c>
      <c r="B256" s="46" t="s">
        <v>121</v>
      </c>
      <c r="C256" s="47"/>
      <c r="D256" s="47"/>
      <c r="E256" s="47"/>
      <c r="F256" s="47"/>
      <c r="G256" s="47"/>
      <c r="H256" s="47"/>
      <c r="I256" s="48"/>
      <c r="J256" s="40"/>
      <c r="K256" s="40"/>
      <c r="L256" s="40"/>
    </row>
    <row r="257" ht="18" customHeight="1" spans="1:12">
      <c r="A257" s="47" t="s">
        <v>122</v>
      </c>
      <c r="B257" s="125" t="s">
        <v>123</v>
      </c>
      <c r="C257" s="126"/>
      <c r="D257" s="126"/>
      <c r="E257" s="127"/>
      <c r="F257" s="47"/>
      <c r="G257" s="47"/>
      <c r="H257" s="47"/>
      <c r="I257" s="48"/>
      <c r="J257" s="40"/>
      <c r="K257" s="40"/>
      <c r="L257" s="40"/>
    </row>
    <row r="258" s="5" customFormat="1" ht="17.25" customHeight="1" spans="1:12">
      <c r="A258" s="56">
        <v>1</v>
      </c>
      <c r="B258" s="69" t="s">
        <v>124</v>
      </c>
      <c r="C258" s="56"/>
      <c r="D258" s="56" t="s">
        <v>15</v>
      </c>
      <c r="E258" s="56">
        <v>14</v>
      </c>
      <c r="F258" s="56"/>
      <c r="G258" s="56">
        <v>12</v>
      </c>
      <c r="H258" s="56"/>
      <c r="I258" s="57" t="s">
        <v>125</v>
      </c>
      <c r="J258" s="61"/>
      <c r="K258" s="61"/>
      <c r="L258" s="61"/>
    </row>
    <row r="259" s="5" customFormat="1" ht="15" customHeight="1" spans="1:12">
      <c r="A259" s="56">
        <v>2</v>
      </c>
      <c r="B259" s="69" t="s">
        <v>126</v>
      </c>
      <c r="C259" s="56"/>
      <c r="D259" s="56" t="s">
        <v>15</v>
      </c>
      <c r="E259" s="56">
        <v>6</v>
      </c>
      <c r="F259" s="56"/>
      <c r="G259" s="56">
        <v>11</v>
      </c>
      <c r="H259" s="56"/>
      <c r="I259" s="57" t="s">
        <v>127</v>
      </c>
      <c r="J259" s="61"/>
      <c r="K259" s="61"/>
      <c r="L259" s="61"/>
    </row>
    <row r="260" s="5" customFormat="1" ht="15" customHeight="1" spans="1:12">
      <c r="A260" s="56">
        <v>3</v>
      </c>
      <c r="B260" s="69" t="s">
        <v>128</v>
      </c>
      <c r="C260" s="56"/>
      <c r="D260" s="56" t="s">
        <v>15</v>
      </c>
      <c r="E260" s="56">
        <v>6</v>
      </c>
      <c r="F260" s="56"/>
      <c r="G260" s="56">
        <v>11</v>
      </c>
      <c r="H260" s="56"/>
      <c r="I260" s="57" t="s">
        <v>129</v>
      </c>
      <c r="J260" s="61"/>
      <c r="K260" s="61"/>
      <c r="L260" s="61"/>
    </row>
    <row r="261" s="5" customFormat="1" ht="15" customHeight="1" spans="1:12">
      <c r="A261" s="56">
        <v>4</v>
      </c>
      <c r="B261" s="69" t="s">
        <v>130</v>
      </c>
      <c r="C261" s="56"/>
      <c r="D261" s="56" t="s">
        <v>15</v>
      </c>
      <c r="E261" s="56">
        <v>6</v>
      </c>
      <c r="F261" s="56"/>
      <c r="G261" s="56">
        <v>11</v>
      </c>
      <c r="H261" s="56"/>
      <c r="I261" s="57" t="s">
        <v>129</v>
      </c>
      <c r="J261" s="61"/>
      <c r="K261" s="61"/>
      <c r="L261" s="61"/>
    </row>
    <row r="262" s="5" customFormat="1" ht="15" customHeight="1" spans="1:12">
      <c r="A262" s="56">
        <v>5</v>
      </c>
      <c r="B262" s="69" t="s">
        <v>131</v>
      </c>
      <c r="C262" s="56"/>
      <c r="D262" s="56" t="s">
        <v>15</v>
      </c>
      <c r="E262" s="56">
        <v>6</v>
      </c>
      <c r="F262" s="56"/>
      <c r="G262" s="56">
        <v>11</v>
      </c>
      <c r="H262" s="56"/>
      <c r="I262" s="57" t="s">
        <v>129</v>
      </c>
      <c r="J262" s="61"/>
      <c r="K262" s="61"/>
      <c r="L262" s="61"/>
    </row>
    <row r="263" ht="15" customHeight="1" spans="1:12">
      <c r="A263" s="47">
        <v>6</v>
      </c>
      <c r="B263" s="50" t="s">
        <v>132</v>
      </c>
      <c r="C263" s="47"/>
      <c r="D263" s="47" t="s">
        <v>15</v>
      </c>
      <c r="E263" s="47">
        <v>10</v>
      </c>
      <c r="F263" s="47"/>
      <c r="G263" s="47">
        <v>6</v>
      </c>
      <c r="H263" s="47"/>
      <c r="I263" s="48" t="s">
        <v>133</v>
      </c>
      <c r="J263" s="40"/>
      <c r="K263" s="40"/>
      <c r="L263" s="40"/>
    </row>
    <row r="264" ht="15" customHeight="1" spans="1:12">
      <c r="A264" s="47">
        <v>7</v>
      </c>
      <c r="B264" s="50" t="s">
        <v>134</v>
      </c>
      <c r="C264" s="47"/>
      <c r="D264" s="47" t="s">
        <v>41</v>
      </c>
      <c r="E264" s="47">
        <v>75</v>
      </c>
      <c r="F264" s="47"/>
      <c r="G264" s="47">
        <v>45</v>
      </c>
      <c r="H264" s="51"/>
      <c r="I264" s="48" t="s">
        <v>135</v>
      </c>
      <c r="J264" s="40"/>
      <c r="K264" s="40"/>
      <c r="L264" s="40"/>
    </row>
    <row r="265" ht="15" customHeight="1" spans="1:12">
      <c r="A265" s="47">
        <v>8</v>
      </c>
      <c r="B265" s="50" t="s">
        <v>136</v>
      </c>
      <c r="C265" s="47"/>
      <c r="D265" s="47" t="s">
        <v>137</v>
      </c>
      <c r="E265" s="47">
        <v>2</v>
      </c>
      <c r="F265" s="47"/>
      <c r="G265" s="47">
        <v>4</v>
      </c>
      <c r="H265" s="47"/>
      <c r="I265" s="48" t="s">
        <v>138</v>
      </c>
      <c r="J265" s="40"/>
      <c r="K265" s="40"/>
      <c r="L265" s="40"/>
    </row>
    <row r="266" s="5" customFormat="1" ht="22.5" customHeight="1" spans="1:12">
      <c r="A266" s="56">
        <v>9</v>
      </c>
      <c r="B266" s="69" t="s">
        <v>139</v>
      </c>
      <c r="C266" s="56"/>
      <c r="D266" s="56" t="s">
        <v>15</v>
      </c>
      <c r="E266" s="56">
        <v>18</v>
      </c>
      <c r="F266" s="56"/>
      <c r="G266" s="56">
        <v>13</v>
      </c>
      <c r="H266" s="56"/>
      <c r="I266" s="128" t="s">
        <v>140</v>
      </c>
      <c r="J266" s="61"/>
      <c r="K266" s="61"/>
      <c r="L266" s="61"/>
    </row>
    <row r="267" s="5" customFormat="1" ht="22.5" customHeight="1" spans="1:12">
      <c r="A267" s="56">
        <v>10</v>
      </c>
      <c r="B267" s="69" t="s">
        <v>141</v>
      </c>
      <c r="C267" s="56"/>
      <c r="D267" s="56" t="s">
        <v>15</v>
      </c>
      <c r="E267" s="56">
        <v>25</v>
      </c>
      <c r="F267" s="56"/>
      <c r="G267" s="56">
        <v>15</v>
      </c>
      <c r="H267" s="129"/>
      <c r="I267" s="128" t="s">
        <v>142</v>
      </c>
      <c r="J267" s="61"/>
      <c r="K267" s="61"/>
      <c r="L267" s="61"/>
    </row>
    <row r="268" s="5" customFormat="1" ht="22.5" customHeight="1" spans="1:12">
      <c r="A268" s="56">
        <v>11</v>
      </c>
      <c r="B268" s="69" t="s">
        <v>143</v>
      </c>
      <c r="C268" s="56"/>
      <c r="D268" s="56" t="s">
        <v>15</v>
      </c>
      <c r="E268" s="56">
        <v>55</v>
      </c>
      <c r="F268" s="56"/>
      <c r="G268" s="56">
        <v>20</v>
      </c>
      <c r="H268" s="129"/>
      <c r="I268" s="128" t="s">
        <v>144</v>
      </c>
      <c r="J268" s="61"/>
      <c r="K268" s="61"/>
      <c r="L268" s="61"/>
    </row>
    <row r="269" ht="15.75" customHeight="1" spans="1:12">
      <c r="A269" s="47">
        <v>12</v>
      </c>
      <c r="B269" s="50" t="s">
        <v>145</v>
      </c>
      <c r="C269" s="47"/>
      <c r="D269" s="47" t="s">
        <v>41</v>
      </c>
      <c r="E269" s="47">
        <v>150</v>
      </c>
      <c r="F269" s="47"/>
      <c r="G269" s="47">
        <v>180</v>
      </c>
      <c r="H269" s="47"/>
      <c r="I269" s="48" t="s">
        <v>146</v>
      </c>
      <c r="J269" s="40"/>
      <c r="K269" s="40"/>
      <c r="L269" s="40"/>
    </row>
    <row r="270" ht="15.75" customHeight="1" spans="1:12">
      <c r="A270" s="47">
        <v>13</v>
      </c>
      <c r="B270" s="50" t="s">
        <v>147</v>
      </c>
      <c r="C270" s="47"/>
      <c r="D270" s="47" t="s">
        <v>41</v>
      </c>
      <c r="E270" s="47">
        <v>240</v>
      </c>
      <c r="F270" s="47"/>
      <c r="G270" s="47">
        <v>160</v>
      </c>
      <c r="H270" s="47"/>
      <c r="I270" s="48" t="s">
        <v>146</v>
      </c>
      <c r="J270" s="40"/>
      <c r="K270" s="40"/>
      <c r="L270" s="40"/>
    </row>
    <row r="271" ht="22.5" customHeight="1" spans="1:12">
      <c r="A271" s="47">
        <v>14</v>
      </c>
      <c r="B271" s="50" t="s">
        <v>148</v>
      </c>
      <c r="C271" s="47"/>
      <c r="D271" s="47" t="s">
        <v>41</v>
      </c>
      <c r="E271" s="47">
        <v>120</v>
      </c>
      <c r="F271" s="47"/>
      <c r="G271" s="47">
        <v>380</v>
      </c>
      <c r="H271" s="47"/>
      <c r="I271" s="48" t="s">
        <v>149</v>
      </c>
      <c r="J271" s="40"/>
      <c r="K271" s="40"/>
      <c r="L271" s="40"/>
    </row>
    <row r="272" s="17" customFormat="1" ht="16.5" customHeight="1" spans="1:12">
      <c r="A272" s="47">
        <v>15</v>
      </c>
      <c r="B272" s="78" t="s">
        <v>150</v>
      </c>
      <c r="C272" s="130"/>
      <c r="D272" s="47" t="s">
        <v>18</v>
      </c>
      <c r="E272" s="130"/>
      <c r="F272" s="47"/>
      <c r="G272" s="47">
        <v>5</v>
      </c>
      <c r="H272" s="51"/>
      <c r="I272" s="131" t="s">
        <v>151</v>
      </c>
      <c r="J272" s="40"/>
      <c r="K272" s="132"/>
      <c r="L272" s="132"/>
    </row>
    <row r="273" s="6" customFormat="1" ht="16.5" customHeight="1" spans="1:12">
      <c r="A273" s="64"/>
      <c r="B273" s="65" t="s">
        <v>47</v>
      </c>
      <c r="C273" s="64"/>
      <c r="D273" s="64"/>
      <c r="E273" s="64"/>
      <c r="F273" s="64"/>
      <c r="G273" s="64"/>
      <c r="H273" s="64"/>
      <c r="I273" s="66"/>
      <c r="J273" s="67"/>
      <c r="K273" s="67"/>
      <c r="L273" s="67"/>
    </row>
    <row r="274" ht="16.5" customHeight="1" spans="1:12">
      <c r="A274" s="47" t="s">
        <v>152</v>
      </c>
      <c r="B274" s="71" t="s">
        <v>153</v>
      </c>
      <c r="C274" s="72"/>
      <c r="D274" s="72"/>
      <c r="E274" s="73"/>
      <c r="F274" s="47"/>
      <c r="G274" s="47"/>
      <c r="H274" s="47"/>
      <c r="I274" s="48"/>
      <c r="J274" s="40"/>
      <c r="K274" s="40"/>
      <c r="L274" s="40"/>
    </row>
    <row r="275" s="5" customFormat="1" ht="24.75" customHeight="1" spans="1:12">
      <c r="A275" s="56">
        <v>1</v>
      </c>
      <c r="B275" s="69" t="s">
        <v>154</v>
      </c>
      <c r="C275" s="56"/>
      <c r="D275" s="56" t="s">
        <v>15</v>
      </c>
      <c r="E275" s="56">
        <v>36</v>
      </c>
      <c r="F275" s="56"/>
      <c r="G275" s="56">
        <v>33</v>
      </c>
      <c r="H275" s="56"/>
      <c r="I275" s="57" t="s">
        <v>155</v>
      </c>
      <c r="J275" s="61"/>
      <c r="K275" s="61"/>
      <c r="L275" s="61"/>
    </row>
    <row r="276" ht="25.5" customHeight="1" spans="1:12">
      <c r="A276" s="47">
        <v>2</v>
      </c>
      <c r="B276" s="50" t="s">
        <v>156</v>
      </c>
      <c r="C276" s="47"/>
      <c r="D276" s="47" t="s">
        <v>15</v>
      </c>
      <c r="E276" s="47">
        <v>38</v>
      </c>
      <c r="F276" s="47"/>
      <c r="G276" s="47">
        <v>40</v>
      </c>
      <c r="H276" s="47"/>
      <c r="I276" s="48" t="s">
        <v>157</v>
      </c>
      <c r="J276" s="40"/>
      <c r="K276" s="40"/>
      <c r="L276" s="40"/>
    </row>
    <row r="277" ht="24.5" customHeight="1" spans="1:12">
      <c r="A277" s="47">
        <v>3</v>
      </c>
      <c r="B277" s="50" t="s">
        <v>158</v>
      </c>
      <c r="C277" s="47"/>
      <c r="D277" s="47" t="s">
        <v>15</v>
      </c>
      <c r="E277" s="47">
        <v>48</v>
      </c>
      <c r="F277" s="47"/>
      <c r="G277" s="47">
        <v>70</v>
      </c>
      <c r="H277" s="47"/>
      <c r="I277" s="48" t="s">
        <v>157</v>
      </c>
      <c r="J277" s="40"/>
      <c r="K277" s="40"/>
      <c r="L277" s="40"/>
    </row>
    <row r="278" ht="15" customHeight="1" spans="1:12">
      <c r="A278" s="47">
        <v>4</v>
      </c>
      <c r="B278" s="50" t="s">
        <v>159</v>
      </c>
      <c r="C278" s="47"/>
      <c r="D278" s="47" t="s">
        <v>15</v>
      </c>
      <c r="E278" s="47">
        <v>20</v>
      </c>
      <c r="F278" s="47"/>
      <c r="G278" s="47">
        <v>15</v>
      </c>
      <c r="H278" s="47"/>
      <c r="I278" s="48" t="s">
        <v>160</v>
      </c>
      <c r="J278" s="40"/>
      <c r="K278" s="40"/>
      <c r="L278" s="40"/>
    </row>
    <row r="279" ht="15" customHeight="1" spans="1:12">
      <c r="A279" s="47">
        <v>5</v>
      </c>
      <c r="B279" s="50" t="s">
        <v>161</v>
      </c>
      <c r="C279" s="47"/>
      <c r="D279" s="47" t="s">
        <v>137</v>
      </c>
      <c r="E279" s="47">
        <v>135</v>
      </c>
      <c r="F279" s="47"/>
      <c r="G279" s="47">
        <v>35</v>
      </c>
      <c r="H279" s="47"/>
      <c r="I279" s="48" t="s">
        <v>162</v>
      </c>
      <c r="J279" s="40"/>
      <c r="K279" s="40"/>
      <c r="L279" s="40"/>
    </row>
    <row r="280" s="6" customFormat="1" ht="17.15" customHeight="1" spans="1:12">
      <c r="A280" s="64"/>
      <c r="B280" s="65" t="s">
        <v>47</v>
      </c>
      <c r="C280" s="64"/>
      <c r="D280" s="64"/>
      <c r="E280" s="64"/>
      <c r="F280" s="64"/>
      <c r="G280" s="64"/>
      <c r="H280" s="64"/>
      <c r="I280" s="66"/>
      <c r="J280" s="67"/>
      <c r="K280" s="67"/>
      <c r="L280" s="67"/>
    </row>
    <row r="281" ht="17.15" customHeight="1" spans="1:12">
      <c r="A281" s="133" t="s">
        <v>163</v>
      </c>
      <c r="B281" s="46" t="s">
        <v>164</v>
      </c>
      <c r="C281" s="47"/>
      <c r="D281" s="47"/>
      <c r="E281" s="47"/>
      <c r="F281" s="47"/>
      <c r="G281" s="47"/>
      <c r="H281" s="47"/>
      <c r="I281" s="48"/>
      <c r="J281" s="40"/>
      <c r="K281" s="40"/>
      <c r="L281" s="40"/>
    </row>
    <row r="282" ht="14.25" customHeight="1" spans="1:12">
      <c r="A282" s="47">
        <v>1</v>
      </c>
      <c r="B282" s="50" t="s">
        <v>165</v>
      </c>
      <c r="C282" s="47"/>
      <c r="D282" s="47" t="s">
        <v>15</v>
      </c>
      <c r="E282" s="47">
        <v>22</v>
      </c>
      <c r="F282" s="47">
        <f>C282*E282</f>
        <v>0</v>
      </c>
      <c r="G282" s="47">
        <v>25</v>
      </c>
      <c r="H282" s="47">
        <f>SUM(G282*C282)</f>
        <v>0</v>
      </c>
      <c r="I282" s="48" t="s">
        <v>166</v>
      </c>
      <c r="J282" s="40"/>
      <c r="K282" s="40"/>
      <c r="L282" s="40"/>
    </row>
    <row r="283" s="15" customFormat="1" ht="14.25" customHeight="1" spans="1:12">
      <c r="A283" s="47">
        <v>2</v>
      </c>
      <c r="B283" s="50" t="s">
        <v>88</v>
      </c>
      <c r="C283" s="47"/>
      <c r="D283" s="47" t="s">
        <v>18</v>
      </c>
      <c r="E283" s="47">
        <v>160</v>
      </c>
      <c r="F283" s="47">
        <f t="shared" ref="F283:F302" si="46">C283*E283</f>
        <v>0</v>
      </c>
      <c r="G283" s="47">
        <v>125</v>
      </c>
      <c r="H283" s="47">
        <f t="shared" ref="H283:H302" si="47">SUM(G283*C283)</f>
        <v>0</v>
      </c>
      <c r="I283" s="48" t="s">
        <v>89</v>
      </c>
      <c r="J283" s="98"/>
      <c r="K283" s="98"/>
      <c r="L283" s="98"/>
    </row>
    <row r="284" ht="14.25" customHeight="1" spans="1:12">
      <c r="A284" s="47">
        <v>3</v>
      </c>
      <c r="B284" s="50" t="s">
        <v>167</v>
      </c>
      <c r="C284" s="47"/>
      <c r="D284" s="47" t="s">
        <v>18</v>
      </c>
      <c r="E284" s="47">
        <v>95</v>
      </c>
      <c r="F284" s="47">
        <f t="shared" si="46"/>
        <v>0</v>
      </c>
      <c r="G284" s="47">
        <v>75</v>
      </c>
      <c r="H284" s="47">
        <f t="shared" si="47"/>
        <v>0</v>
      </c>
      <c r="I284" s="48" t="s">
        <v>168</v>
      </c>
      <c r="J284" s="40"/>
      <c r="K284" s="40"/>
      <c r="L284" s="40"/>
    </row>
    <row r="285" ht="14.25" customHeight="1" spans="1:12">
      <c r="A285" s="47">
        <v>4</v>
      </c>
      <c r="B285" s="50" t="s">
        <v>169</v>
      </c>
      <c r="C285" s="47"/>
      <c r="D285" s="47" t="s">
        <v>170</v>
      </c>
      <c r="E285" s="47">
        <v>120</v>
      </c>
      <c r="F285" s="47">
        <f t="shared" si="46"/>
        <v>0</v>
      </c>
      <c r="G285" s="47">
        <v>90</v>
      </c>
      <c r="H285" s="47">
        <f t="shared" si="47"/>
        <v>0</v>
      </c>
      <c r="I285" s="48" t="s">
        <v>171</v>
      </c>
      <c r="J285" s="40"/>
      <c r="K285" s="40"/>
      <c r="L285" s="40"/>
    </row>
    <row r="286" ht="14.25" customHeight="1" spans="1:12">
      <c r="A286" s="47">
        <v>5</v>
      </c>
      <c r="B286" s="50" t="s">
        <v>172</v>
      </c>
      <c r="C286" s="47"/>
      <c r="D286" s="47" t="s">
        <v>170</v>
      </c>
      <c r="E286" s="47">
        <v>150</v>
      </c>
      <c r="F286" s="47">
        <f t="shared" si="46"/>
        <v>0</v>
      </c>
      <c r="G286" s="47">
        <v>100</v>
      </c>
      <c r="H286" s="47">
        <f t="shared" si="47"/>
        <v>0</v>
      </c>
      <c r="I286" s="48" t="s">
        <v>171</v>
      </c>
      <c r="J286" s="40"/>
      <c r="K286" s="40"/>
      <c r="L286" s="40"/>
    </row>
    <row r="287" s="13" customFormat="1" ht="14.25" customHeight="1" spans="1:12">
      <c r="A287" s="47">
        <v>6</v>
      </c>
      <c r="B287" s="85" t="s">
        <v>173</v>
      </c>
      <c r="C287" s="86"/>
      <c r="D287" s="86" t="s">
        <v>41</v>
      </c>
      <c r="E287" s="86">
        <v>260</v>
      </c>
      <c r="F287" s="86">
        <f t="shared" si="46"/>
        <v>0</v>
      </c>
      <c r="G287" s="86">
        <v>820</v>
      </c>
      <c r="H287" s="86">
        <f t="shared" si="47"/>
        <v>0</v>
      </c>
      <c r="I287" s="92" t="s">
        <v>174</v>
      </c>
      <c r="J287" s="89"/>
      <c r="K287" s="89"/>
      <c r="L287" s="89"/>
    </row>
    <row r="288" ht="14.25" customHeight="1" spans="1:12">
      <c r="A288" s="47">
        <v>7</v>
      </c>
      <c r="B288" s="50" t="s">
        <v>175</v>
      </c>
      <c r="C288" s="47"/>
      <c r="D288" s="47" t="s">
        <v>41</v>
      </c>
      <c r="E288" s="47">
        <v>10</v>
      </c>
      <c r="F288" s="47">
        <f t="shared" si="46"/>
        <v>0</v>
      </c>
      <c r="G288" s="47">
        <v>15</v>
      </c>
      <c r="H288" s="47">
        <f t="shared" si="47"/>
        <v>0</v>
      </c>
      <c r="I288" s="48" t="s">
        <v>176</v>
      </c>
      <c r="J288" s="40"/>
      <c r="K288" s="40"/>
      <c r="L288" s="40"/>
    </row>
    <row r="289" s="18" customFormat="1" ht="14.25" customHeight="1" spans="1:12">
      <c r="A289" s="47">
        <v>8</v>
      </c>
      <c r="B289" s="50" t="s">
        <v>177</v>
      </c>
      <c r="C289" s="47"/>
      <c r="D289" s="47" t="s">
        <v>41</v>
      </c>
      <c r="E289" s="47">
        <v>280</v>
      </c>
      <c r="F289" s="47">
        <f t="shared" si="46"/>
        <v>0</v>
      </c>
      <c r="G289" s="47">
        <v>380</v>
      </c>
      <c r="H289" s="47">
        <f t="shared" si="47"/>
        <v>0</v>
      </c>
      <c r="I289" s="48" t="s">
        <v>178</v>
      </c>
      <c r="J289" s="134"/>
      <c r="K289" s="134"/>
      <c r="L289" s="134"/>
    </row>
    <row r="290" s="18" customFormat="1" ht="14.25" customHeight="1" spans="1:12">
      <c r="A290" s="47">
        <v>9</v>
      </c>
      <c r="B290" s="50" t="s">
        <v>179</v>
      </c>
      <c r="C290" s="47"/>
      <c r="D290" s="47" t="s">
        <v>41</v>
      </c>
      <c r="E290" s="47">
        <v>105</v>
      </c>
      <c r="F290" s="47">
        <f t="shared" si="46"/>
        <v>0</v>
      </c>
      <c r="G290" s="47">
        <v>70</v>
      </c>
      <c r="H290" s="47">
        <f t="shared" si="47"/>
        <v>0</v>
      </c>
      <c r="I290" s="48" t="s">
        <v>180</v>
      </c>
      <c r="J290" s="134"/>
      <c r="K290" s="134"/>
      <c r="L290" s="134"/>
    </row>
    <row r="291" s="19" customFormat="1" ht="15" customHeight="1" spans="1:12">
      <c r="A291" s="47">
        <v>10</v>
      </c>
      <c r="B291" s="50" t="s">
        <v>181</v>
      </c>
      <c r="C291" s="56"/>
      <c r="D291" s="56" t="s">
        <v>41</v>
      </c>
      <c r="E291" s="47">
        <v>25</v>
      </c>
      <c r="F291" s="47">
        <f t="shared" si="46"/>
        <v>0</v>
      </c>
      <c r="G291" s="129">
        <v>45</v>
      </c>
      <c r="H291" s="47">
        <f t="shared" si="47"/>
        <v>0</v>
      </c>
      <c r="I291" s="48" t="s">
        <v>182</v>
      </c>
      <c r="J291" s="61"/>
      <c r="K291" s="61"/>
      <c r="L291" s="61"/>
    </row>
    <row r="292" s="19" customFormat="1" ht="15" customHeight="1" spans="1:12">
      <c r="A292" s="47">
        <v>11</v>
      </c>
      <c r="B292" s="50" t="s">
        <v>183</v>
      </c>
      <c r="C292" s="47"/>
      <c r="D292" s="47" t="s">
        <v>41</v>
      </c>
      <c r="E292" s="47">
        <v>45</v>
      </c>
      <c r="F292" s="47">
        <f t="shared" si="46"/>
        <v>0</v>
      </c>
      <c r="G292" s="47">
        <v>90</v>
      </c>
      <c r="H292" s="47">
        <f t="shared" si="47"/>
        <v>0</v>
      </c>
      <c r="I292" s="48" t="s">
        <v>184</v>
      </c>
      <c r="J292" s="40"/>
      <c r="K292" s="40"/>
      <c r="L292" s="40"/>
    </row>
    <row r="293" s="7" customFormat="1" ht="14.15" customHeight="1" spans="1:12">
      <c r="A293" s="47">
        <v>12</v>
      </c>
      <c r="B293" s="50" t="s">
        <v>185</v>
      </c>
      <c r="C293" s="47"/>
      <c r="D293" s="56" t="s">
        <v>15</v>
      </c>
      <c r="E293" s="47">
        <v>65</v>
      </c>
      <c r="F293" s="47">
        <f t="shared" si="46"/>
        <v>0</v>
      </c>
      <c r="G293" s="47">
        <v>100</v>
      </c>
      <c r="H293" s="47">
        <f t="shared" si="47"/>
        <v>0</v>
      </c>
      <c r="I293" s="48" t="s">
        <v>186</v>
      </c>
      <c r="J293"/>
      <c r="K293"/>
      <c r="L293"/>
    </row>
    <row r="294" s="7" customFormat="1" ht="15" customHeight="1" spans="1:12">
      <c r="A294" s="47">
        <v>13</v>
      </c>
      <c r="B294" s="50" t="s">
        <v>187</v>
      </c>
      <c r="C294" s="47"/>
      <c r="D294" s="56" t="s">
        <v>41</v>
      </c>
      <c r="E294" s="47">
        <v>180</v>
      </c>
      <c r="F294" s="47">
        <f t="shared" si="46"/>
        <v>0</v>
      </c>
      <c r="G294" s="47">
        <v>320</v>
      </c>
      <c r="H294" s="47">
        <f t="shared" si="47"/>
        <v>0</v>
      </c>
      <c r="I294" s="48" t="s">
        <v>188</v>
      </c>
      <c r="J294" s="40"/>
      <c r="K294" s="40"/>
      <c r="L294" s="40"/>
    </row>
    <row r="295" s="15" customFormat="1" ht="15.75" customHeight="1" spans="1:12">
      <c r="A295" s="47">
        <v>14</v>
      </c>
      <c r="B295" s="50" t="s">
        <v>189</v>
      </c>
      <c r="C295" s="47"/>
      <c r="D295" s="56" t="s">
        <v>190</v>
      </c>
      <c r="E295" s="47">
        <v>4</v>
      </c>
      <c r="F295" s="47">
        <f t="shared" si="46"/>
        <v>0</v>
      </c>
      <c r="G295" s="47">
        <v>2.5</v>
      </c>
      <c r="H295" s="47">
        <f t="shared" si="47"/>
        <v>0</v>
      </c>
      <c r="I295" s="48" t="s">
        <v>191</v>
      </c>
    </row>
    <row r="296" s="15" customFormat="1" ht="15.75" customHeight="1" spans="1:12">
      <c r="A296" s="47">
        <v>15</v>
      </c>
      <c r="B296" s="50" t="s">
        <v>192</v>
      </c>
      <c r="C296" s="47"/>
      <c r="D296" s="56" t="s">
        <v>15</v>
      </c>
      <c r="E296" s="47">
        <v>25</v>
      </c>
      <c r="F296" s="47">
        <f t="shared" si="46"/>
        <v>0</v>
      </c>
      <c r="G296" s="47">
        <v>48</v>
      </c>
      <c r="H296" s="47">
        <f t="shared" si="47"/>
        <v>0</v>
      </c>
      <c r="I296" s="48" t="s">
        <v>193</v>
      </c>
    </row>
    <row r="297" s="7" customFormat="1" ht="15" customHeight="1" spans="1:12">
      <c r="A297" s="47">
        <v>16</v>
      </c>
      <c r="B297" s="50" t="s">
        <v>194</v>
      </c>
      <c r="C297" s="47"/>
      <c r="D297" s="47" t="s">
        <v>41</v>
      </c>
      <c r="E297" s="47">
        <v>160</v>
      </c>
      <c r="F297" s="47">
        <f t="shared" si="46"/>
        <v>0</v>
      </c>
      <c r="G297" s="47">
        <v>125</v>
      </c>
      <c r="H297" s="47">
        <f t="shared" si="47"/>
        <v>0</v>
      </c>
      <c r="I297" s="48" t="s">
        <v>195</v>
      </c>
      <c r="J297" s="40"/>
      <c r="K297" s="40"/>
      <c r="L297" s="40"/>
    </row>
    <row r="298" s="7" customFormat="1" ht="14.15" customHeight="1" spans="1:12">
      <c r="A298" s="47">
        <v>17</v>
      </c>
      <c r="B298" s="135" t="s">
        <v>196</v>
      </c>
      <c r="C298" s="136"/>
      <c r="D298" s="136" t="s">
        <v>15</v>
      </c>
      <c r="E298" s="137"/>
      <c r="F298" s="47">
        <f t="shared" si="46"/>
        <v>0</v>
      </c>
      <c r="G298" s="137">
        <v>420</v>
      </c>
      <c r="H298" s="47">
        <f t="shared" si="47"/>
        <v>0</v>
      </c>
      <c r="I298" s="48" t="s">
        <v>197</v>
      </c>
      <c r="J298"/>
    </row>
    <row r="299" ht="14.25" customHeight="1" spans="1:12">
      <c r="A299" s="47">
        <v>18</v>
      </c>
      <c r="B299" s="50" t="s">
        <v>198</v>
      </c>
      <c r="C299" s="47"/>
      <c r="D299" s="47" t="s">
        <v>18</v>
      </c>
      <c r="E299" s="47">
        <v>0</v>
      </c>
      <c r="F299" s="47">
        <f t="shared" si="46"/>
        <v>0</v>
      </c>
      <c r="G299" s="47">
        <v>75</v>
      </c>
      <c r="H299" s="47">
        <f t="shared" ref="H299:H301" si="48">SUM(G299*C299)</f>
        <v>0</v>
      </c>
      <c r="I299" s="48" t="s">
        <v>199</v>
      </c>
      <c r="J299" s="40"/>
      <c r="K299" s="40"/>
      <c r="L299" s="40"/>
    </row>
    <row r="300" s="20" customFormat="1" ht="17.25" customHeight="1" spans="1:12">
      <c r="A300" s="47">
        <v>18</v>
      </c>
      <c r="B300" s="138" t="s">
        <v>200</v>
      </c>
      <c r="C300" s="139"/>
      <c r="D300" s="139" t="s">
        <v>32</v>
      </c>
      <c r="E300" s="140">
        <v>0</v>
      </c>
      <c r="F300" s="47">
        <f t="shared" si="46"/>
        <v>0</v>
      </c>
      <c r="G300" s="139">
        <v>28</v>
      </c>
      <c r="H300" s="141">
        <f t="shared" si="48"/>
        <v>0</v>
      </c>
      <c r="I300" s="142" t="s">
        <v>197</v>
      </c>
    </row>
    <row r="301" s="9" customFormat="1" ht="12" customHeight="1" spans="1:12">
      <c r="A301" s="47">
        <v>19</v>
      </c>
      <c r="B301" s="143" t="s">
        <v>201</v>
      </c>
      <c r="C301" s="144"/>
      <c r="D301" s="144" t="s">
        <v>32</v>
      </c>
      <c r="E301" s="145"/>
      <c r="F301" s="146">
        <v>0</v>
      </c>
      <c r="G301" s="144">
        <v>35</v>
      </c>
      <c r="H301" s="47">
        <f t="shared" si="48"/>
        <v>0</v>
      </c>
      <c r="I301" s="147" t="s">
        <v>197</v>
      </c>
      <c r="J301" s="148"/>
      <c r="K301" s="148"/>
      <c r="L301" s="148"/>
    </row>
    <row r="302" s="21" customFormat="1" ht="15" customHeight="1" spans="1:12">
      <c r="A302" s="47">
        <v>19</v>
      </c>
      <c r="B302" s="50" t="s">
        <v>202</v>
      </c>
      <c r="C302" s="47"/>
      <c r="D302" s="47" t="s">
        <v>18</v>
      </c>
      <c r="E302" s="47"/>
      <c r="F302" s="47">
        <f t="shared" ref="F302:F308" si="49">C302*E302</f>
        <v>0</v>
      </c>
      <c r="G302" s="47">
        <v>5</v>
      </c>
      <c r="H302" s="47">
        <f t="shared" ref="H302:H308" si="50">SUM(G302*C302)</f>
        <v>0</v>
      </c>
      <c r="I302" s="48" t="s">
        <v>203</v>
      </c>
    </row>
    <row r="303" s="15" customFormat="1" ht="14.25" customHeight="1" spans="1:12">
      <c r="A303" s="47">
        <v>20</v>
      </c>
      <c r="B303" s="149" t="s">
        <v>204</v>
      </c>
      <c r="C303" s="47"/>
      <c r="D303" s="47" t="s">
        <v>18</v>
      </c>
      <c r="E303" s="150">
        <v>0</v>
      </c>
      <c r="F303" s="47">
        <f t="shared" si="49"/>
        <v>0</v>
      </c>
      <c r="G303" s="150">
        <v>30</v>
      </c>
      <c r="H303" s="47">
        <f t="shared" si="50"/>
        <v>0</v>
      </c>
      <c r="I303" s="151" t="s">
        <v>205</v>
      </c>
      <c r="J303" s="152"/>
      <c r="K303" s="152"/>
      <c r="L303" s="152"/>
    </row>
    <row r="304" s="9" customFormat="1" ht="14.25" customHeight="1" spans="1:12">
      <c r="A304" s="47">
        <v>53</v>
      </c>
      <c r="B304" s="50" t="s">
        <v>206</v>
      </c>
      <c r="C304" s="47"/>
      <c r="D304" s="47" t="s">
        <v>18</v>
      </c>
      <c r="E304" s="47">
        <v>70</v>
      </c>
      <c r="F304" s="47">
        <f t="shared" si="49"/>
        <v>0</v>
      </c>
      <c r="G304" s="47">
        <v>65</v>
      </c>
      <c r="H304" s="47">
        <f t="shared" si="50"/>
        <v>0</v>
      </c>
      <c r="I304" s="48" t="s">
        <v>207</v>
      </c>
      <c r="J304" s="40"/>
      <c r="K304" s="40"/>
      <c r="L304" s="40"/>
    </row>
    <row r="305" s="15" customFormat="1" ht="14.25" customHeight="1" spans="1:12">
      <c r="A305" s="47">
        <v>21</v>
      </c>
      <c r="B305" s="50" t="s">
        <v>208</v>
      </c>
      <c r="C305" s="47"/>
      <c r="D305" s="47" t="s">
        <v>18</v>
      </c>
      <c r="E305" s="47">
        <v>80</v>
      </c>
      <c r="F305" s="47">
        <f t="shared" si="49"/>
        <v>0</v>
      </c>
      <c r="G305" s="47">
        <v>75</v>
      </c>
      <c r="H305" s="47">
        <f t="shared" si="50"/>
        <v>0</v>
      </c>
      <c r="I305" s="48" t="s">
        <v>207</v>
      </c>
      <c r="J305" s="40"/>
      <c r="K305" s="40"/>
      <c r="L305" s="40"/>
    </row>
    <row r="306" s="9" customFormat="1" ht="15" customHeight="1" spans="1:12">
      <c r="A306" s="47">
        <v>22</v>
      </c>
      <c r="B306" s="50" t="s">
        <v>209</v>
      </c>
      <c r="C306" s="47"/>
      <c r="D306" s="47" t="s">
        <v>18</v>
      </c>
      <c r="E306" s="47">
        <v>90</v>
      </c>
      <c r="F306" s="47">
        <f t="shared" si="49"/>
        <v>0</v>
      </c>
      <c r="G306" s="47">
        <v>85</v>
      </c>
      <c r="H306" s="47">
        <f t="shared" si="50"/>
        <v>0</v>
      </c>
      <c r="I306" s="48" t="s">
        <v>207</v>
      </c>
      <c r="J306" s="40"/>
      <c r="K306" s="40"/>
      <c r="L306" s="40"/>
    </row>
    <row r="307" ht="14.25" customHeight="1" spans="1:12">
      <c r="A307" s="47">
        <v>23</v>
      </c>
      <c r="B307" s="50" t="s">
        <v>210</v>
      </c>
      <c r="C307" s="47"/>
      <c r="D307" s="47" t="s">
        <v>18</v>
      </c>
      <c r="E307" s="47">
        <v>15</v>
      </c>
      <c r="F307" s="47">
        <f t="shared" si="49"/>
        <v>0</v>
      </c>
      <c r="G307" s="47">
        <v>13</v>
      </c>
      <c r="H307" s="47">
        <f t="shared" si="50"/>
        <v>0</v>
      </c>
      <c r="I307" s="48" t="s">
        <v>211</v>
      </c>
      <c r="J307" s="40"/>
      <c r="K307" s="40"/>
      <c r="L307" s="40"/>
    </row>
    <row r="308" s="7" customFormat="1" ht="14.25" customHeight="1" spans="1:12">
      <c r="A308" s="47">
        <v>24</v>
      </c>
      <c r="B308" s="50" t="s">
        <v>212</v>
      </c>
      <c r="C308" s="47"/>
      <c r="D308" s="47" t="s">
        <v>18</v>
      </c>
      <c r="E308" s="47">
        <v>2</v>
      </c>
      <c r="F308" s="47">
        <f t="shared" si="49"/>
        <v>0</v>
      </c>
      <c r="G308" s="47">
        <v>6</v>
      </c>
      <c r="H308" s="47">
        <f t="shared" si="50"/>
        <v>0</v>
      </c>
      <c r="I308" s="48" t="s">
        <v>213</v>
      </c>
      <c r="J308" s="70"/>
      <c r="K308" s="70"/>
      <c r="L308" s="70"/>
    </row>
    <row r="309" s="6" customFormat="1" ht="17.25" customHeight="1" spans="1:12">
      <c r="A309" s="64"/>
      <c r="B309" s="65" t="s">
        <v>47</v>
      </c>
      <c r="C309" s="64"/>
      <c r="D309" s="64"/>
      <c r="E309" s="64"/>
      <c r="F309" s="64">
        <f>SUM(F282:F308)</f>
        <v>0</v>
      </c>
      <c r="G309" s="64"/>
      <c r="H309" s="64">
        <f>SUM(H282:H308)</f>
        <v>0</v>
      </c>
      <c r="I309" s="66"/>
      <c r="J309" s="67"/>
      <c r="K309" s="67"/>
      <c r="L309" s="67"/>
    </row>
    <row r="310" ht="17.25" customHeight="1" spans="1:12">
      <c r="A310" s="47"/>
      <c r="B310" s="68" t="s">
        <v>214</v>
      </c>
      <c r="C310" s="47"/>
      <c r="D310" s="47"/>
      <c r="E310" s="47"/>
      <c r="F310" s="153">
        <f>F309+F255+F238+F224+F212+F203+F188+F177+F165+F154+F142+F132+F120+F109+F100+F90+F81+F70+F53+F43+F33+F22</f>
        <v>0</v>
      </c>
      <c r="G310" s="153">
        <f>G309+G255+G238+G224+G212+G203+G188+G177+G165+G154+G142+G132+G120+G109+G100+G90+G81+G70+G53+G43+G33+G22</f>
        <v>0</v>
      </c>
      <c r="H310" s="153">
        <f>H309+H255+H238+H224+H212+H203+H188+H177+H165+H154+H142+H132+H120+H109+H100+H90+H81+H70+H53+H43+H33+H22</f>
        <v>0</v>
      </c>
      <c r="I310" s="48"/>
      <c r="J310" s="40"/>
      <c r="K310" s="40"/>
      <c r="L310" s="40"/>
    </row>
    <row r="311" s="6" customFormat="1" ht="17.25" customHeight="1" spans="1:12">
      <c r="A311" s="64"/>
      <c r="B311" s="65" t="s">
        <v>215</v>
      </c>
      <c r="C311" s="64"/>
      <c r="D311" s="64"/>
      <c r="E311" s="64"/>
      <c r="F311" s="64"/>
      <c r="G311" s="64"/>
      <c r="H311" s="154">
        <f>F310+H310</f>
        <v>0</v>
      </c>
      <c r="I311" s="155"/>
      <c r="J311" s="67"/>
      <c r="K311" s="67"/>
      <c r="L311" s="67"/>
    </row>
    <row r="312" s="22" customFormat="1" ht="18" customHeight="1" spans="1:12">
      <c r="A312" s="156"/>
      <c r="B312" s="157" t="s">
        <v>216</v>
      </c>
      <c r="C312" s="158"/>
      <c r="D312" s="158"/>
      <c r="E312" s="158"/>
      <c r="F312" s="158"/>
      <c r="G312" s="158"/>
      <c r="H312" s="158"/>
      <c r="I312" s="159"/>
      <c r="J312" s="160"/>
      <c r="K312" s="160"/>
      <c r="L312" s="160"/>
    </row>
    <row r="313" ht="14.25" customHeight="1" spans="1:12">
      <c r="A313" s="47"/>
      <c r="B313" s="161" t="s">
        <v>217</v>
      </c>
      <c r="C313" s="47"/>
      <c r="D313" s="47"/>
      <c r="E313" s="47"/>
      <c r="F313" s="47"/>
      <c r="G313" s="162"/>
      <c r="H313" s="153">
        <f>H311*3.5%</f>
        <v>0</v>
      </c>
      <c r="I313" s="48" t="s">
        <v>218</v>
      </c>
      <c r="J313" s="40"/>
      <c r="K313" s="40"/>
      <c r="L313" s="40"/>
    </row>
    <row r="314" ht="24" customHeight="1" spans="1:12">
      <c r="A314" s="47"/>
      <c r="B314" s="68" t="s">
        <v>219</v>
      </c>
      <c r="C314" s="47"/>
      <c r="D314" s="47"/>
      <c r="E314" s="47"/>
      <c r="F314" s="47"/>
      <c r="G314" s="162"/>
      <c r="H314" s="153">
        <f>H311*3%</f>
        <v>0</v>
      </c>
      <c r="I314" s="48" t="s">
        <v>220</v>
      </c>
      <c r="J314" s="40"/>
      <c r="K314" s="40"/>
      <c r="L314" s="40"/>
    </row>
    <row r="315" s="23" customFormat="1" ht="15.75" customHeight="1" spans="1:12">
      <c r="A315" s="47"/>
      <c r="B315" s="68" t="s">
        <v>221</v>
      </c>
      <c r="C315" s="47"/>
      <c r="D315" s="47"/>
      <c r="E315" s="47"/>
      <c r="F315" s="163"/>
      <c r="G315" s="47"/>
      <c r="H315" s="153">
        <f>H311*8%</f>
        <v>0</v>
      </c>
      <c r="I315" s="48" t="s">
        <v>222</v>
      </c>
      <c r="J315" s="164"/>
      <c r="K315" s="165"/>
      <c r="L315" s="165"/>
    </row>
    <row r="316" s="23" customFormat="1" ht="15.75" customHeight="1" spans="1:12">
      <c r="A316" s="47"/>
      <c r="B316" s="68" t="s">
        <v>223</v>
      </c>
      <c r="C316" s="47"/>
      <c r="D316" s="47"/>
      <c r="E316" s="47"/>
      <c r="F316" s="163"/>
      <c r="G316" s="47"/>
      <c r="H316" s="153">
        <f>H311*5%</f>
        <v>0</v>
      </c>
      <c r="I316" s="48" t="s">
        <v>224</v>
      </c>
      <c r="J316" s="164"/>
      <c r="K316" s="165"/>
      <c r="L316" s="165"/>
    </row>
    <row r="317" s="24" customFormat="1" ht="15.75" customHeight="1" spans="1:12">
      <c r="A317" s="156"/>
      <c r="B317" s="166" t="s">
        <v>225</v>
      </c>
      <c r="C317" s="156"/>
      <c r="D317" s="156"/>
      <c r="E317" s="156"/>
      <c r="F317" s="167"/>
      <c r="G317" s="156"/>
      <c r="H317" s="168">
        <f>H316+H315+H314+H313+H311</f>
        <v>0</v>
      </c>
      <c r="I317" s="169"/>
      <c r="J317" s="170"/>
      <c r="K317" s="171"/>
      <c r="L317" s="171"/>
    </row>
    <row r="318" s="23" customFormat="1" ht="15" customHeight="1" spans="1:12">
      <c r="A318" s="47"/>
      <c r="B318" s="172" t="s">
        <v>226</v>
      </c>
      <c r="C318" s="173"/>
      <c r="D318" s="173"/>
      <c r="E318" s="173"/>
      <c r="F318" s="173"/>
      <c r="G318" s="173"/>
      <c r="H318" s="174"/>
      <c r="I318" s="175" t="s">
        <v>227</v>
      </c>
      <c r="J318" s="164"/>
      <c r="K318" s="165"/>
      <c r="L318" s="165"/>
    </row>
    <row r="319" s="24" customFormat="1" ht="17.15" customHeight="1" spans="1:12">
      <c r="A319" s="156" t="s">
        <v>12</v>
      </c>
      <c r="B319" s="166" t="s">
        <v>228</v>
      </c>
      <c r="C319" s="156"/>
      <c r="D319" s="156"/>
      <c r="E319" s="156"/>
      <c r="F319" s="167"/>
      <c r="G319" s="156"/>
      <c r="H319" s="167"/>
      <c r="J319" s="170"/>
      <c r="K319" s="171"/>
      <c r="L319" s="171"/>
    </row>
    <row r="320" s="23" customFormat="1" ht="15" customHeight="1" spans="1:12">
      <c r="A320" s="47">
        <v>1</v>
      </c>
      <c r="B320" s="50" t="s">
        <v>229</v>
      </c>
      <c r="C320" s="47"/>
      <c r="D320" s="47" t="s">
        <v>230</v>
      </c>
      <c r="E320" s="51">
        <v>95</v>
      </c>
      <c r="F320" s="47"/>
      <c r="G320" s="51">
        <v>45</v>
      </c>
      <c r="H320" s="51"/>
      <c r="I320" s="48" t="s">
        <v>231</v>
      </c>
      <c r="J320" s="164"/>
      <c r="K320" s="165"/>
      <c r="L320" s="165"/>
    </row>
    <row r="321" ht="15" customHeight="1" spans="1:12">
      <c r="A321" s="47">
        <v>2</v>
      </c>
      <c r="B321" s="50" t="s">
        <v>232</v>
      </c>
      <c r="C321" s="47"/>
      <c r="D321" s="47" t="s">
        <v>41</v>
      </c>
      <c r="E321" s="51">
        <v>2</v>
      </c>
      <c r="F321" s="47"/>
      <c r="G321" s="51">
        <v>6</v>
      </c>
      <c r="H321" s="47"/>
      <c r="I321" s="48" t="s">
        <v>233</v>
      </c>
      <c r="J321" s="40"/>
      <c r="K321" s="40"/>
      <c r="L321" s="40"/>
    </row>
    <row r="322" ht="15" customHeight="1" spans="1:12">
      <c r="A322" s="47">
        <v>3</v>
      </c>
      <c r="B322" s="50" t="s">
        <v>234</v>
      </c>
      <c r="C322" s="47"/>
      <c r="D322" s="47" t="s">
        <v>41</v>
      </c>
      <c r="E322" s="51">
        <v>20</v>
      </c>
      <c r="F322" s="47"/>
      <c r="G322" s="51">
        <v>45</v>
      </c>
      <c r="H322" s="47"/>
      <c r="I322" s="176" t="s">
        <v>235</v>
      </c>
      <c r="J322" s="40"/>
      <c r="K322" s="40"/>
      <c r="L322" s="40"/>
    </row>
    <row r="323" ht="15" customHeight="1" spans="1:12">
      <c r="A323" s="47">
        <v>4</v>
      </c>
      <c r="B323" s="50" t="s">
        <v>236</v>
      </c>
      <c r="C323" s="47"/>
      <c r="D323" s="47" t="s">
        <v>41</v>
      </c>
      <c r="E323" s="51">
        <v>20</v>
      </c>
      <c r="F323" s="47"/>
      <c r="G323" s="51">
        <v>60</v>
      </c>
      <c r="H323" s="47"/>
      <c r="I323" s="176" t="s">
        <v>237</v>
      </c>
      <c r="J323" s="40"/>
      <c r="K323" s="40"/>
      <c r="L323" s="40"/>
    </row>
    <row r="324" ht="15" customHeight="1" spans="1:12">
      <c r="A324" s="47">
        <v>5</v>
      </c>
      <c r="B324" s="50" t="s">
        <v>238</v>
      </c>
      <c r="C324" s="47"/>
      <c r="D324" s="47" t="s">
        <v>41</v>
      </c>
      <c r="E324" s="51">
        <v>20</v>
      </c>
      <c r="F324" s="47"/>
      <c r="G324" s="51">
        <v>85</v>
      </c>
      <c r="H324" s="47"/>
      <c r="I324" s="176" t="s">
        <v>239</v>
      </c>
      <c r="J324" s="40"/>
      <c r="K324" s="40"/>
      <c r="L324" s="40"/>
    </row>
    <row r="325" ht="15" customHeight="1" spans="1:12">
      <c r="A325" s="47">
        <v>6</v>
      </c>
      <c r="B325" s="50" t="s">
        <v>183</v>
      </c>
      <c r="C325" s="47"/>
      <c r="D325" s="47" t="s">
        <v>41</v>
      </c>
      <c r="E325" s="51">
        <v>45</v>
      </c>
      <c r="F325" s="47"/>
      <c r="G325" s="51">
        <v>90</v>
      </c>
      <c r="H325" s="47"/>
      <c r="I325" s="176" t="s">
        <v>184</v>
      </c>
      <c r="J325" s="40"/>
      <c r="K325" s="40"/>
      <c r="L325" s="40"/>
    </row>
    <row r="326" ht="15" customHeight="1" spans="1:12">
      <c r="A326" s="47">
        <v>7</v>
      </c>
      <c r="B326" s="50" t="s">
        <v>240</v>
      </c>
      <c r="C326" s="47"/>
      <c r="D326" s="47" t="s">
        <v>41</v>
      </c>
      <c r="E326" s="51">
        <v>180</v>
      </c>
      <c r="F326" s="47"/>
      <c r="G326" s="51">
        <v>120</v>
      </c>
      <c r="H326" s="51"/>
      <c r="I326" s="52" t="s">
        <v>241</v>
      </c>
      <c r="J326" s="40"/>
      <c r="K326" s="40"/>
      <c r="L326" s="40"/>
    </row>
    <row r="327" ht="15" customHeight="1" spans="1:12">
      <c r="A327" s="47">
        <v>8</v>
      </c>
      <c r="B327" s="50" t="s">
        <v>14</v>
      </c>
      <c r="C327" s="47"/>
      <c r="D327" s="47" t="s">
        <v>15</v>
      </c>
      <c r="E327" s="51">
        <v>70</v>
      </c>
      <c r="F327" s="47"/>
      <c r="G327" s="51">
        <v>25</v>
      </c>
      <c r="H327" s="51"/>
      <c r="I327" s="52" t="s">
        <v>16</v>
      </c>
      <c r="J327" s="40"/>
      <c r="K327" s="40"/>
      <c r="L327" s="40"/>
    </row>
    <row r="328" s="18" customFormat="1" ht="15" customHeight="1" spans="1:12">
      <c r="A328" s="47">
        <v>9</v>
      </c>
      <c r="B328" s="78" t="s">
        <v>242</v>
      </c>
      <c r="C328" s="47"/>
      <c r="D328" s="47" t="s">
        <v>41</v>
      </c>
      <c r="E328" s="130">
        <v>0</v>
      </c>
      <c r="F328" s="47"/>
      <c r="G328" s="47">
        <v>50</v>
      </c>
      <c r="H328" s="47"/>
      <c r="I328" s="177" t="s">
        <v>243</v>
      </c>
      <c r="J328" s="134"/>
      <c r="K328" s="134"/>
      <c r="L328" s="134"/>
    </row>
    <row r="329" s="18" customFormat="1" ht="15" customHeight="1" spans="1:12">
      <c r="A329" s="47">
        <v>10</v>
      </c>
      <c r="B329" s="78" t="s">
        <v>244</v>
      </c>
      <c r="C329" s="47"/>
      <c r="D329" s="47" t="s">
        <v>41</v>
      </c>
      <c r="E329" s="130">
        <v>50</v>
      </c>
      <c r="F329" s="47"/>
      <c r="G329" s="47">
        <v>100</v>
      </c>
      <c r="H329" s="47"/>
      <c r="I329" s="177" t="s">
        <v>245</v>
      </c>
      <c r="J329" s="134"/>
      <c r="K329" s="134"/>
      <c r="L329" s="134"/>
    </row>
    <row r="330" ht="15" customHeight="1" spans="1:12">
      <c r="A330" s="47">
        <v>11</v>
      </c>
      <c r="B330" s="178" t="s">
        <v>246</v>
      </c>
      <c r="C330" s="47"/>
      <c r="D330" s="47" t="s">
        <v>41</v>
      </c>
      <c r="E330" s="51">
        <v>120</v>
      </c>
      <c r="F330" s="47"/>
      <c r="G330" s="51">
        <v>160</v>
      </c>
      <c r="H330" s="51"/>
      <c r="I330" s="52" t="s">
        <v>241</v>
      </c>
      <c r="J330" s="40"/>
      <c r="K330" s="40"/>
      <c r="L330" s="40"/>
    </row>
    <row r="331" s="19" customFormat="1" ht="15" customHeight="1" spans="1:12">
      <c r="A331" s="47">
        <v>12</v>
      </c>
      <c r="B331" s="179" t="s">
        <v>181</v>
      </c>
      <c r="C331" s="56"/>
      <c r="D331" s="56" t="s">
        <v>41</v>
      </c>
      <c r="E331" s="129">
        <v>25</v>
      </c>
      <c r="F331" s="56"/>
      <c r="G331" s="129">
        <v>45</v>
      </c>
      <c r="H331" s="129"/>
      <c r="I331" s="60" t="s">
        <v>182</v>
      </c>
      <c r="J331" s="61"/>
      <c r="K331" s="61"/>
      <c r="L331" s="61"/>
    </row>
    <row r="332" s="8" customFormat="1" ht="14.15" customHeight="1" spans="1:12">
      <c r="A332" s="47">
        <v>13</v>
      </c>
      <c r="B332" s="60" t="s">
        <v>247</v>
      </c>
      <c r="C332" s="56"/>
      <c r="D332" s="56" t="s">
        <v>21</v>
      </c>
      <c r="E332" s="129">
        <v>23</v>
      </c>
      <c r="F332" s="56"/>
      <c r="G332" s="129">
        <v>16</v>
      </c>
      <c r="H332" s="56"/>
      <c r="I332" s="57" t="s">
        <v>248</v>
      </c>
      <c r="J332" s="74"/>
      <c r="K332" s="74"/>
      <c r="L332" s="74"/>
    </row>
    <row r="333" s="7" customFormat="1" ht="14.15" customHeight="1" spans="1:12">
      <c r="A333" s="47">
        <v>14</v>
      </c>
      <c r="B333" s="52" t="s">
        <v>249</v>
      </c>
      <c r="C333" s="47"/>
      <c r="D333" s="47" t="s">
        <v>41</v>
      </c>
      <c r="E333" s="51">
        <v>120</v>
      </c>
      <c r="F333" s="47"/>
      <c r="G333" s="51">
        <v>180</v>
      </c>
      <c r="H333" s="47"/>
      <c r="I333" s="48" t="s">
        <v>250</v>
      </c>
      <c r="J333" s="70"/>
      <c r="K333" s="70"/>
      <c r="L333" s="70"/>
    </row>
    <row r="334" s="7" customFormat="1" ht="14.15" customHeight="1" spans="1:12">
      <c r="A334" s="47">
        <v>15</v>
      </c>
      <c r="B334" s="135" t="s">
        <v>185</v>
      </c>
      <c r="C334" s="136"/>
      <c r="D334" s="136" t="s">
        <v>15</v>
      </c>
      <c r="E334" s="137">
        <v>65</v>
      </c>
      <c r="F334" s="47"/>
      <c r="G334" s="137">
        <v>100</v>
      </c>
      <c r="H334" s="47"/>
      <c r="I334" s="180" t="s">
        <v>186</v>
      </c>
      <c r="J334"/>
      <c r="K334"/>
      <c r="L334"/>
    </row>
    <row r="335" s="21" customFormat="1" ht="15" customHeight="1" spans="1:12">
      <c r="A335" s="47">
        <v>16</v>
      </c>
      <c r="B335" s="181" t="s">
        <v>202</v>
      </c>
      <c r="C335" s="47"/>
      <c r="D335" s="47" t="s">
        <v>18</v>
      </c>
      <c r="E335" s="182"/>
      <c r="F335" s="47"/>
      <c r="G335" s="182">
        <v>5</v>
      </c>
      <c r="H335" s="47"/>
      <c r="I335" s="183" t="s">
        <v>203</v>
      </c>
    </row>
    <row r="336" ht="15" customHeight="1" spans="1:12">
      <c r="A336" s="47">
        <v>17</v>
      </c>
      <c r="B336" s="50" t="s">
        <v>187</v>
      </c>
      <c r="C336" s="47"/>
      <c r="D336" s="47" t="s">
        <v>41</v>
      </c>
      <c r="E336" s="51">
        <v>180</v>
      </c>
      <c r="F336" s="47"/>
      <c r="G336" s="51">
        <v>320</v>
      </c>
      <c r="H336" s="47"/>
      <c r="I336" s="48" t="s">
        <v>188</v>
      </c>
      <c r="J336" s="40"/>
      <c r="K336" s="40"/>
      <c r="L336" s="40"/>
    </row>
    <row r="337" customFormat="1" ht="15" customHeight="1" spans="1:12">
      <c r="A337" s="47">
        <v>18</v>
      </c>
      <c r="B337" s="50" t="s">
        <v>251</v>
      </c>
      <c r="C337" s="47"/>
      <c r="D337" s="47" t="s">
        <v>41</v>
      </c>
      <c r="E337" s="51">
        <v>200</v>
      </c>
      <c r="F337" s="47"/>
      <c r="G337" s="51">
        <v>150</v>
      </c>
      <c r="H337" s="47"/>
      <c r="I337" s="48" t="s">
        <v>252</v>
      </c>
      <c r="J337" s="40"/>
      <c r="K337" s="40"/>
      <c r="L337" s="40"/>
    </row>
    <row r="338" customFormat="1" ht="15" customHeight="1" spans="1:12">
      <c r="A338" s="47">
        <v>19</v>
      </c>
      <c r="B338" s="50" t="s">
        <v>253</v>
      </c>
      <c r="C338" s="47"/>
      <c r="D338" s="47" t="s">
        <v>41</v>
      </c>
      <c r="E338" s="51">
        <v>130</v>
      </c>
      <c r="F338" s="47"/>
      <c r="G338" s="51">
        <v>70</v>
      </c>
      <c r="H338" s="47"/>
      <c r="I338" s="48" t="s">
        <v>254</v>
      </c>
      <c r="J338" s="40"/>
      <c r="K338" s="40"/>
      <c r="L338" s="40"/>
    </row>
    <row r="339" s="15" customFormat="1" ht="15.75" customHeight="1" spans="1:12">
      <c r="A339" s="47">
        <v>20</v>
      </c>
      <c r="B339" s="184" t="s">
        <v>189</v>
      </c>
      <c r="C339" s="47"/>
      <c r="D339" s="136" t="s">
        <v>190</v>
      </c>
      <c r="E339" s="137">
        <v>4</v>
      </c>
      <c r="F339" s="136"/>
      <c r="G339" s="137">
        <v>2.5</v>
      </c>
      <c r="H339" s="47"/>
      <c r="I339" s="180" t="s">
        <v>191</v>
      </c>
    </row>
    <row r="340" s="15" customFormat="1" ht="15.75" customHeight="1" spans="1:12">
      <c r="A340" s="47">
        <v>21</v>
      </c>
      <c r="B340" s="135" t="s">
        <v>192</v>
      </c>
      <c r="C340" s="47"/>
      <c r="D340" s="136" t="s">
        <v>15</v>
      </c>
      <c r="E340" s="137">
        <v>25</v>
      </c>
      <c r="F340" s="47"/>
      <c r="G340" s="137">
        <v>48</v>
      </c>
      <c r="H340" s="47"/>
      <c r="I340" s="180" t="s">
        <v>193</v>
      </c>
    </row>
    <row r="341" ht="15" customHeight="1" spans="1:12">
      <c r="A341" s="47">
        <v>22</v>
      </c>
      <c r="B341" s="178" t="s">
        <v>194</v>
      </c>
      <c r="C341" s="47"/>
      <c r="D341" s="47" t="s">
        <v>41</v>
      </c>
      <c r="E341" s="51">
        <v>160</v>
      </c>
      <c r="F341" s="47"/>
      <c r="G341" s="51">
        <v>125</v>
      </c>
      <c r="H341" s="47"/>
      <c r="I341" s="48" t="s">
        <v>195</v>
      </c>
      <c r="J341" s="40"/>
      <c r="K341" s="40"/>
      <c r="L341" s="40"/>
    </row>
    <row r="342" s="7" customFormat="1" ht="14.15" customHeight="1" spans="1:12">
      <c r="A342" s="47">
        <v>23</v>
      </c>
      <c r="B342" s="135" t="s">
        <v>255</v>
      </c>
      <c r="C342" s="136"/>
      <c r="D342" s="136" t="s">
        <v>15</v>
      </c>
      <c r="E342" s="137"/>
      <c r="F342" s="47">
        <f>C342*E342</f>
        <v>0</v>
      </c>
      <c r="G342" s="137">
        <v>85</v>
      </c>
      <c r="H342" s="47">
        <f>SUM(G342*C342)</f>
        <v>0</v>
      </c>
      <c r="I342" s="48" t="s">
        <v>197</v>
      </c>
      <c r="J342"/>
    </row>
    <row r="343" s="23" customFormat="1" ht="17.15" customHeight="1" spans="1:12">
      <c r="A343" s="47" t="s">
        <v>48</v>
      </c>
      <c r="B343" s="68" t="s">
        <v>256</v>
      </c>
      <c r="C343" s="185"/>
      <c r="D343" s="185"/>
      <c r="E343" s="185"/>
      <c r="F343" s="185"/>
      <c r="G343" s="185"/>
      <c r="H343" s="185"/>
      <c r="I343" s="185"/>
      <c r="J343" s="164"/>
      <c r="K343" s="165"/>
      <c r="L343" s="165"/>
    </row>
    <row r="344" s="23" customFormat="1" ht="27" customHeight="1" spans="1:12">
      <c r="A344" s="47">
        <v>1</v>
      </c>
      <c r="B344" s="186" t="s">
        <v>257</v>
      </c>
      <c r="C344" s="186"/>
      <c r="D344" s="186"/>
      <c r="E344" s="186"/>
      <c r="F344" s="186"/>
      <c r="G344" s="186"/>
      <c r="H344" s="186"/>
      <c r="I344" s="186"/>
      <c r="J344" s="164"/>
      <c r="K344" s="165"/>
      <c r="L344" s="165"/>
    </row>
    <row r="345" s="23" customFormat="1" ht="29" customHeight="1" spans="1:12">
      <c r="A345" s="47">
        <v>2</v>
      </c>
      <c r="B345" s="50" t="s">
        <v>258</v>
      </c>
      <c r="C345" s="50"/>
      <c r="D345" s="50"/>
      <c r="E345" s="50"/>
      <c r="F345" s="50"/>
      <c r="G345" s="50"/>
      <c r="H345" s="50"/>
      <c r="I345" s="50"/>
      <c r="J345" s="164"/>
      <c r="K345" s="165"/>
      <c r="L345" s="165"/>
    </row>
    <row r="346" s="23" customFormat="1" ht="29.25" customHeight="1" spans="1:12">
      <c r="A346" s="47">
        <v>3</v>
      </c>
      <c r="B346" s="186" t="s">
        <v>259</v>
      </c>
      <c r="C346" s="186"/>
      <c r="D346" s="186"/>
      <c r="E346" s="186"/>
      <c r="F346" s="186"/>
      <c r="G346" s="186"/>
      <c r="H346" s="186"/>
      <c r="I346" s="186"/>
      <c r="J346" s="164"/>
      <c r="K346" s="165"/>
      <c r="L346" s="165"/>
    </row>
    <row r="347" s="23" customFormat="1" ht="27.75" customHeight="1" spans="1:12">
      <c r="A347" s="47">
        <v>4</v>
      </c>
      <c r="B347" s="186" t="s">
        <v>260</v>
      </c>
      <c r="C347" s="186"/>
      <c r="D347" s="186"/>
      <c r="E347" s="186"/>
      <c r="F347" s="186"/>
      <c r="G347" s="186"/>
      <c r="H347" s="186"/>
      <c r="I347" s="186"/>
      <c r="J347" s="164"/>
      <c r="K347" s="165"/>
      <c r="L347" s="165"/>
    </row>
    <row r="348" s="23" customFormat="1" ht="58" customHeight="1" spans="1:12">
      <c r="A348" s="47">
        <v>5</v>
      </c>
      <c r="B348" s="186" t="s">
        <v>261</v>
      </c>
      <c r="C348" s="186"/>
      <c r="D348" s="186"/>
      <c r="E348" s="186"/>
      <c r="F348" s="186"/>
      <c r="G348" s="186"/>
      <c r="H348" s="186"/>
      <c r="I348" s="186"/>
      <c r="J348" s="164"/>
      <c r="K348" s="165"/>
      <c r="L348" s="165"/>
    </row>
    <row r="349" s="23" customFormat="1" ht="31.5" customHeight="1" spans="1:12">
      <c r="A349" s="47">
        <v>6</v>
      </c>
      <c r="B349" s="50" t="s">
        <v>262</v>
      </c>
      <c r="C349" s="50"/>
      <c r="D349" s="50"/>
      <c r="E349" s="50"/>
      <c r="F349" s="50"/>
      <c r="G349" s="50"/>
      <c r="H349" s="50"/>
      <c r="I349" s="50"/>
      <c r="J349" s="164"/>
      <c r="K349" s="165"/>
      <c r="L349" s="165"/>
    </row>
    <row r="350" s="23" customFormat="1" ht="16.5" customHeight="1" spans="1:12">
      <c r="A350" s="47">
        <v>7</v>
      </c>
      <c r="B350" s="186" t="s">
        <v>263</v>
      </c>
      <c r="C350" s="186"/>
      <c r="D350" s="186"/>
      <c r="E350" s="186"/>
      <c r="F350" s="186"/>
      <c r="G350" s="186"/>
      <c r="H350" s="186"/>
      <c r="I350" s="186"/>
      <c r="J350" s="164"/>
      <c r="K350" s="165"/>
      <c r="L350" s="165"/>
    </row>
    <row r="351" s="23" customFormat="1" ht="16" customHeight="1" spans="1:12">
      <c r="A351" s="47">
        <v>8</v>
      </c>
      <c r="B351" s="186" t="s">
        <v>264</v>
      </c>
      <c r="C351" s="186"/>
      <c r="D351" s="186"/>
      <c r="E351" s="186"/>
      <c r="F351" s="186"/>
      <c r="G351" s="186"/>
      <c r="H351" s="186"/>
      <c r="I351" s="186"/>
      <c r="J351" s="164"/>
      <c r="K351" s="165"/>
      <c r="L351" s="165"/>
    </row>
    <row r="352" s="23" customFormat="1" ht="16" customHeight="1" spans="1:12">
      <c r="A352" s="47">
        <v>9</v>
      </c>
      <c r="B352" s="186" t="s">
        <v>265</v>
      </c>
      <c r="C352" s="186"/>
      <c r="D352" s="186"/>
      <c r="E352" s="186"/>
      <c r="F352" s="186"/>
      <c r="G352" s="186"/>
      <c r="H352" s="186"/>
      <c r="I352" s="186"/>
      <c r="J352" s="164"/>
      <c r="K352" s="165"/>
      <c r="L352" s="165"/>
    </row>
    <row r="353" s="25" customFormat="1" ht="15.75" customHeight="1" spans="1:12">
      <c r="A353" s="187"/>
      <c r="B353" s="188" t="s">
        <v>266</v>
      </c>
      <c r="C353" s="188"/>
      <c r="D353" s="188"/>
      <c r="E353" s="188"/>
      <c r="F353" s="188"/>
      <c r="G353" s="188"/>
      <c r="H353" s="188"/>
      <c r="I353" s="188"/>
      <c r="J353" s="189"/>
      <c r="K353" s="189"/>
      <c r="L353" s="189"/>
    </row>
  </sheetData>
  <mergeCells count="38">
    <mergeCell ref="A1:I1"/>
    <mergeCell ref="A2:H2"/>
    <mergeCell ref="A3:K3"/>
    <mergeCell ref="B8:E8"/>
    <mergeCell ref="B34:E34"/>
    <mergeCell ref="B55:E55"/>
    <mergeCell ref="B91:E91"/>
    <mergeCell ref="B101:E101"/>
    <mergeCell ref="B133:E133"/>
    <mergeCell ref="B143:E143"/>
    <mergeCell ref="B204:E204"/>
    <mergeCell ref="B213:E213"/>
    <mergeCell ref="B257:E257"/>
    <mergeCell ref="B274:E274"/>
    <mergeCell ref="B312:I312"/>
    <mergeCell ref="B318:G318"/>
    <mergeCell ref="C343:I343"/>
    <mergeCell ref="B344:I344"/>
    <mergeCell ref="B345:I345"/>
    <mergeCell ref="B346:I346"/>
    <mergeCell ref="B347:I347"/>
    <mergeCell ref="B348:I348"/>
    <mergeCell ref="B349:I349"/>
    <mergeCell ref="B350:I350"/>
    <mergeCell ref="B351:I351"/>
    <mergeCell ref="B352:I352"/>
    <mergeCell ref="B353:I353"/>
    <mergeCell ref="A4:A7"/>
    <mergeCell ref="B4:B7"/>
    <mergeCell ref="C4:C7"/>
    <mergeCell ref="D4:D7"/>
    <mergeCell ref="E6:E7"/>
    <mergeCell ref="F6:F7"/>
    <mergeCell ref="G6:G7"/>
    <mergeCell ref="H6:H7"/>
    <mergeCell ref="I4:I7"/>
    <mergeCell ref="E4:F5"/>
    <mergeCell ref="G4:H5"/>
  </mergeCells>
  <pageMargins left="0.275" right="0.0777777777777778" top="0.235416666666667" bottom="0.0388888888888889" header="0.829861111111111" footer="0.235416666666667"/>
  <pageSetup paperSize="9" scale="98" orientation="landscape"/>
  <headerFooter alignWithMargins="0" scaleWithDoc="0">
    <oddFooter>&amp;C&amp;"Times New Roman"&amp;12第 &amp;P 页</oddFooter>
  </headerFooter>
  <colBreaks count="1" manualBreakCount="1">
    <brk id="9" max="1048575" man="1"/>
  </colBreaks>
  <drawing r:id="rId1"/>
</worksheet>
</file>

<file path=docProps/app.xml><?xml version="1.0" encoding="utf-8"?>
<Properties xmlns="http://schemas.openxmlformats.org/officeDocument/2006/extended-properties" xmlns:vt="http://schemas.openxmlformats.org/officeDocument/2006/docPropsVTypes">
  <Company>满堂红</Company>
  <Application>Microsoft Excel</Application>
  <HeadingPairs>
    <vt:vector size="2" baseType="variant">
      <vt:variant>
        <vt:lpstr>工作表</vt:lpstr>
      </vt:variant>
      <vt:variant>
        <vt:i4>1</vt:i4>
      </vt:variant>
    </vt:vector>
  </HeadingPairs>
  <TitlesOfParts>
    <vt:vector size="1" baseType="lpstr">
      <vt:lpstr>7.4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Admin（无密码）</cp:lastModifiedBy>
  <cp:revision>1</cp:revision>
  <dcterms:created xsi:type="dcterms:W3CDTF">2002-06-15T02:54:00Z</dcterms:created>
  <cp:lastPrinted>2018-07-15T03:46:00Z</cp:lastPrinted>
  <dcterms:modified xsi:type="dcterms:W3CDTF">2026-07-14T09:32:41Z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0735085390924D56B04DBE2AA26B728F</vt:lpwstr>
  </property>
  <property fmtid="{D5CDD505-2E9C-101B-9397-08002B2CF9AE}" pid="4" name="CalculationRule">
    <vt:i4>0</vt:i4>
  </property>
</Properties>
</file>